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77BE239D-818A-4AFB-ADB3-8E4D7E4895EE}" xr6:coauthVersionLast="47" xr6:coauthVersionMax="47" xr10:uidLastSave="{00000000-0000-0000-0000-000000000000}"/>
  <bookViews>
    <workbookView xWindow="240" yWindow="105" windowWidth="14805" windowHeight="8010" firstSheet="8" activeTab="9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10" r:id="rId6"/>
    <sheet name="PVT_1" sheetId="7" r:id="rId7"/>
    <sheet name="PVT_2" sheetId="8" r:id="rId8"/>
    <sheet name="CHRT_1" sheetId="12" r:id="rId9"/>
    <sheet name="CHRT_2" sheetId="14" r:id="rId10"/>
  </sheets>
  <definedNames>
    <definedName name="_xlnm._FilterDatabase" localSheetId="0" hidden="1">Sheet1!$A$5:$E$25</definedName>
    <definedName name="Slicer_Product_ID_">#N/A</definedName>
  </definedNames>
  <calcPr calcId="191028"/>
  <pivotCaches>
    <pivotCache cacheId="184" r:id="rId11"/>
    <pivotCache cacheId="167" r:id="rId12"/>
  </pivotCaches>
  <extLs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10" l="1"/>
  <c r="J3" i="10" a="1"/>
  <c r="J3" i="10"/>
  <c r="J2" i="10" a="1"/>
  <c r="J2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N4" i="5" a="1"/>
  <c r="N4" i="5"/>
  <c r="D21" i="10"/>
  <c r="C21" i="10"/>
  <c r="B21" i="10"/>
  <c r="A21" i="10"/>
  <c r="D20" i="10"/>
  <c r="C20" i="10"/>
  <c r="B20" i="10"/>
  <c r="A20" i="10"/>
  <c r="D19" i="10"/>
  <c r="C19" i="10"/>
  <c r="B19" i="10"/>
  <c r="A19" i="10"/>
  <c r="D18" i="10"/>
  <c r="C18" i="10"/>
  <c r="B18" i="10"/>
  <c r="A18" i="10"/>
  <c r="D17" i="10"/>
  <c r="C17" i="10"/>
  <c r="B17" i="10"/>
  <c r="A17" i="10"/>
  <c r="D16" i="10"/>
  <c r="C16" i="10"/>
  <c r="B16" i="10"/>
  <c r="A16" i="10"/>
  <c r="D15" i="10"/>
  <c r="C15" i="10"/>
  <c r="B15" i="10"/>
  <c r="A15" i="10"/>
  <c r="D14" i="10"/>
  <c r="C14" i="10"/>
  <c r="B14" i="10"/>
  <c r="A14" i="10"/>
  <c r="D13" i="10"/>
  <c r="C13" i="10"/>
  <c r="B13" i="10"/>
  <c r="A13" i="10"/>
  <c r="D12" i="10"/>
  <c r="C12" i="10"/>
  <c r="B12" i="10"/>
  <c r="A12" i="10"/>
  <c r="D11" i="10"/>
  <c r="C11" i="10"/>
  <c r="B11" i="10"/>
  <c r="A11" i="10"/>
  <c r="D10" i="10"/>
  <c r="C10" i="10"/>
  <c r="B10" i="10"/>
  <c r="A10" i="10"/>
  <c r="D9" i="10"/>
  <c r="C9" i="10"/>
  <c r="B9" i="10"/>
  <c r="A9" i="10"/>
  <c r="D8" i="10"/>
  <c r="C8" i="10"/>
  <c r="B8" i="10"/>
  <c r="A8" i="10"/>
  <c r="D7" i="10"/>
  <c r="C7" i="10"/>
  <c r="B7" i="10"/>
  <c r="A7" i="10"/>
  <c r="D6" i="10"/>
  <c r="C6" i="10"/>
  <c r="B6" i="10"/>
  <c r="A6" i="10"/>
  <c r="D5" i="10"/>
  <c r="C5" i="10"/>
  <c r="B5" i="10"/>
  <c r="A5" i="10"/>
  <c r="D4" i="10"/>
  <c r="C4" i="10"/>
  <c r="B4" i="10"/>
  <c r="A4" i="10"/>
  <c r="D3" i="10"/>
  <c r="C3" i="10"/>
  <c r="B3" i="10"/>
  <c r="A3" i="10"/>
  <c r="K2" i="10"/>
  <c r="M2" i="10" s="1"/>
  <c r="I2" i="10"/>
  <c r="H2" i="10"/>
  <c r="G2" i="10"/>
  <c r="F2" i="10"/>
  <c r="E2" i="10"/>
  <c r="D2" i="10"/>
  <c r="D2" i="5"/>
  <c r="D3" i="5"/>
  <c r="J2" i="5" a="1"/>
  <c r="J2" i="5"/>
  <c r="K2" i="5" s="1"/>
  <c r="L2" i="5" s="1"/>
  <c r="R29" i="5"/>
  <c r="J2" i="4"/>
  <c r="I2" i="5"/>
  <c r="H2" i="5"/>
  <c r="G2" i="5"/>
  <c r="F2" i="5"/>
  <c r="E2" i="5"/>
  <c r="A5" i="5"/>
  <c r="D21" i="5"/>
  <c r="C21" i="5"/>
  <c r="B21" i="5"/>
  <c r="J21" i="5" s="1" a="1"/>
  <c r="J21" i="5" s="1"/>
  <c r="A21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3" i="5"/>
  <c r="B3" i="5"/>
  <c r="J3" i="5" s="1" a="1"/>
  <c r="J3" i="5" s="1"/>
  <c r="B4" i="5"/>
  <c r="J4" i="5" s="1" a="1"/>
  <c r="J4" i="5" s="1"/>
  <c r="K4" i="5" s="1"/>
  <c r="L4" i="5" s="1"/>
  <c r="B5" i="5"/>
  <c r="J5" i="5" s="1" a="1"/>
  <c r="J5" i="5" s="1"/>
  <c r="B6" i="5"/>
  <c r="J6" i="5" s="1" a="1"/>
  <c r="J6" i="5" s="1"/>
  <c r="B7" i="5"/>
  <c r="J7" i="5" s="1" a="1"/>
  <c r="J7" i="5" s="1"/>
  <c r="K7" i="5" s="1"/>
  <c r="L7" i="5" s="1"/>
  <c r="B8" i="5"/>
  <c r="J8" i="5" s="1" a="1"/>
  <c r="J8" i="5" s="1"/>
  <c r="K8" i="5" s="1"/>
  <c r="L8" i="5" s="1"/>
  <c r="B9" i="5"/>
  <c r="J9" i="5" s="1" a="1"/>
  <c r="J9" i="5" s="1"/>
  <c r="B10" i="5"/>
  <c r="J10" i="5" s="1" a="1"/>
  <c r="J10" i="5" s="1"/>
  <c r="B11" i="5"/>
  <c r="J11" i="5" s="1" a="1"/>
  <c r="J11" i="5" s="1"/>
  <c r="B12" i="5"/>
  <c r="J12" i="5" s="1" a="1"/>
  <c r="J12" i="5" s="1"/>
  <c r="K12" i="5" s="1"/>
  <c r="L12" i="5" s="1"/>
  <c r="B13" i="5"/>
  <c r="J13" i="5" s="1" a="1"/>
  <c r="J13" i="5" s="1"/>
  <c r="B14" i="5"/>
  <c r="J14" i="5" s="1" a="1"/>
  <c r="J14" i="5" s="1"/>
  <c r="B15" i="5"/>
  <c r="J15" i="5" s="1" a="1"/>
  <c r="J15" i="5" s="1"/>
  <c r="K15" i="5" s="1"/>
  <c r="L15" i="5" s="1"/>
  <c r="B16" i="5"/>
  <c r="J16" i="5" s="1" a="1"/>
  <c r="J16" i="5" s="1"/>
  <c r="B17" i="5"/>
  <c r="J17" i="5" s="1" a="1"/>
  <c r="J17" i="5" s="1"/>
  <c r="B18" i="5"/>
  <c r="J18" i="5" s="1" a="1"/>
  <c r="J18" i="5" s="1"/>
  <c r="B19" i="5"/>
  <c r="J19" i="5" s="1" a="1"/>
  <c r="J19" i="5" s="1"/>
  <c r="B20" i="5"/>
  <c r="J20" i="5" s="1" a="1"/>
  <c r="J20" i="5" s="1"/>
  <c r="A4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3" i="5"/>
  <c r="A3" i="1"/>
  <c r="L2" i="10" l="1"/>
  <c r="I3" i="10"/>
  <c r="F3" i="10"/>
  <c r="E3" i="10"/>
  <c r="H3" i="10"/>
  <c r="G3" i="10"/>
  <c r="J4" i="10" a="1"/>
  <c r="J4" i="10" s="1"/>
  <c r="K4" i="10" s="1"/>
  <c r="L4" i="10" s="1"/>
  <c r="I4" i="10"/>
  <c r="F4" i="10"/>
  <c r="E4" i="10"/>
  <c r="H4" i="10"/>
  <c r="G4" i="10"/>
  <c r="J5" i="10" a="1"/>
  <c r="J5" i="10" s="1"/>
  <c r="I5" i="10"/>
  <c r="F5" i="10"/>
  <c r="E5" i="10"/>
  <c r="H5" i="10"/>
  <c r="G5" i="10"/>
  <c r="J6" i="10" a="1"/>
  <c r="J6" i="10" s="1"/>
  <c r="I6" i="10"/>
  <c r="F6" i="10"/>
  <c r="E6" i="10"/>
  <c r="H6" i="10"/>
  <c r="G6" i="10"/>
  <c r="J7" i="10" a="1"/>
  <c r="J7" i="10" s="1"/>
  <c r="K7" i="10" s="1"/>
  <c r="L7" i="10" s="1"/>
  <c r="I7" i="10"/>
  <c r="F7" i="10"/>
  <c r="E7" i="10"/>
  <c r="H7" i="10"/>
  <c r="G7" i="10"/>
  <c r="J8" i="10" a="1"/>
  <c r="J8" i="10" s="1"/>
  <c r="K8" i="10" s="1"/>
  <c r="L8" i="10" s="1"/>
  <c r="I8" i="10"/>
  <c r="F8" i="10"/>
  <c r="E8" i="10"/>
  <c r="H8" i="10"/>
  <c r="G8" i="10"/>
  <c r="J9" i="10" a="1"/>
  <c r="J9" i="10" s="1"/>
  <c r="I9" i="10"/>
  <c r="F9" i="10"/>
  <c r="E9" i="10"/>
  <c r="H9" i="10"/>
  <c r="G9" i="10"/>
  <c r="J10" i="10" a="1"/>
  <c r="J10" i="10" s="1"/>
  <c r="I10" i="10"/>
  <c r="F10" i="10"/>
  <c r="E10" i="10"/>
  <c r="H10" i="10"/>
  <c r="G10" i="10"/>
  <c r="J11" i="10" a="1"/>
  <c r="J11" i="10" s="1"/>
  <c r="I11" i="10"/>
  <c r="F11" i="10"/>
  <c r="E11" i="10"/>
  <c r="H11" i="10"/>
  <c r="G11" i="10"/>
  <c r="J12" i="10" a="1"/>
  <c r="J12" i="10" s="1"/>
  <c r="K12" i="10" s="1"/>
  <c r="L12" i="10" s="1"/>
  <c r="I12" i="10"/>
  <c r="F12" i="10"/>
  <c r="E12" i="10"/>
  <c r="H12" i="10"/>
  <c r="G12" i="10"/>
  <c r="J13" i="10" a="1"/>
  <c r="J13" i="10" s="1"/>
  <c r="I13" i="10"/>
  <c r="F13" i="10"/>
  <c r="E13" i="10"/>
  <c r="H13" i="10"/>
  <c r="G13" i="10"/>
  <c r="J14" i="10" a="1"/>
  <c r="J14" i="10" s="1"/>
  <c r="I14" i="10"/>
  <c r="F14" i="10"/>
  <c r="E14" i="10"/>
  <c r="H14" i="10"/>
  <c r="G14" i="10"/>
  <c r="J15" i="10" a="1"/>
  <c r="J15" i="10" s="1"/>
  <c r="K15" i="10" s="1"/>
  <c r="L15" i="10" s="1"/>
  <c r="I15" i="10"/>
  <c r="F15" i="10"/>
  <c r="E15" i="10"/>
  <c r="H15" i="10"/>
  <c r="G15" i="10"/>
  <c r="J16" i="10" a="1"/>
  <c r="J16" i="10" s="1"/>
  <c r="I16" i="10"/>
  <c r="F16" i="10"/>
  <c r="E16" i="10"/>
  <c r="H16" i="10"/>
  <c r="G16" i="10"/>
  <c r="J17" i="10" a="1"/>
  <c r="J17" i="10" s="1"/>
  <c r="I17" i="10"/>
  <c r="F17" i="10"/>
  <c r="E17" i="10"/>
  <c r="H17" i="10"/>
  <c r="G17" i="10"/>
  <c r="J18" i="10" a="1"/>
  <c r="J18" i="10" s="1"/>
  <c r="I18" i="10"/>
  <c r="F18" i="10"/>
  <c r="E18" i="10"/>
  <c r="H18" i="10"/>
  <c r="G18" i="10"/>
  <c r="J19" i="10" a="1"/>
  <c r="J19" i="10" s="1"/>
  <c r="I19" i="10"/>
  <c r="F19" i="10"/>
  <c r="E19" i="10"/>
  <c r="H19" i="10"/>
  <c r="G19" i="10"/>
  <c r="J20" i="10" a="1"/>
  <c r="J20" i="10" s="1"/>
  <c r="I20" i="10"/>
  <c r="F20" i="10"/>
  <c r="E20" i="10"/>
  <c r="H20" i="10"/>
  <c r="G20" i="10"/>
  <c r="J21" i="10" a="1"/>
  <c r="J21" i="10" s="1"/>
  <c r="I21" i="10"/>
  <c r="F21" i="10"/>
  <c r="E21" i="10"/>
  <c r="H21" i="10"/>
  <c r="G21" i="10"/>
  <c r="R42" i="5"/>
  <c r="R39" i="5"/>
  <c r="R35" i="5"/>
  <c r="R34" i="5"/>
  <c r="R31" i="5"/>
  <c r="I20" i="5"/>
  <c r="K20" i="5" s="1"/>
  <c r="F20" i="5"/>
  <c r="E20" i="5"/>
  <c r="I19" i="5"/>
  <c r="K19" i="5" s="1"/>
  <c r="F19" i="5"/>
  <c r="E19" i="5"/>
  <c r="I18" i="5"/>
  <c r="K18" i="5" s="1"/>
  <c r="F18" i="5"/>
  <c r="E18" i="5"/>
  <c r="I17" i="5"/>
  <c r="K17" i="5" s="1"/>
  <c r="F17" i="5"/>
  <c r="E17" i="5"/>
  <c r="E16" i="5"/>
  <c r="I16" i="5"/>
  <c r="K16" i="5" s="1"/>
  <c r="F16" i="5"/>
  <c r="I15" i="5"/>
  <c r="F15" i="5"/>
  <c r="E15" i="5"/>
  <c r="I14" i="5"/>
  <c r="K14" i="5" s="1"/>
  <c r="F14" i="5"/>
  <c r="E14" i="5"/>
  <c r="I13" i="5"/>
  <c r="K13" i="5" s="1"/>
  <c r="F13" i="5"/>
  <c r="E13" i="5"/>
  <c r="I12" i="5"/>
  <c r="F12" i="5"/>
  <c r="E12" i="5"/>
  <c r="I11" i="5"/>
  <c r="K11" i="5" s="1"/>
  <c r="F11" i="5"/>
  <c r="E11" i="5"/>
  <c r="E10" i="5"/>
  <c r="I10" i="5"/>
  <c r="K10" i="5" s="1"/>
  <c r="F10" i="5"/>
  <c r="I9" i="5"/>
  <c r="K9" i="5" s="1"/>
  <c r="F9" i="5"/>
  <c r="E9" i="5"/>
  <c r="I8" i="5"/>
  <c r="F8" i="5"/>
  <c r="E8" i="5"/>
  <c r="I7" i="5"/>
  <c r="F7" i="5"/>
  <c r="E7" i="5"/>
  <c r="I6" i="5"/>
  <c r="K6" i="5" s="1"/>
  <c r="F6" i="5"/>
  <c r="E6" i="5"/>
  <c r="I5" i="5"/>
  <c r="K5" i="5" s="1"/>
  <c r="L5" i="5" s="1"/>
  <c r="F5" i="5"/>
  <c r="E5" i="5"/>
  <c r="I4" i="5"/>
  <c r="F4" i="5"/>
  <c r="E4" i="5"/>
  <c r="I3" i="5"/>
  <c r="K3" i="5" s="1"/>
  <c r="L3" i="5" s="1"/>
  <c r="F3" i="5"/>
  <c r="E3" i="5"/>
  <c r="H3" i="5"/>
  <c r="G3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I21" i="5"/>
  <c r="K21" i="5" s="1"/>
  <c r="F21" i="5"/>
  <c r="E21" i="5"/>
  <c r="H21" i="5"/>
  <c r="G21" i="5"/>
  <c r="R48" i="5" l="1"/>
  <c r="L21" i="5"/>
  <c r="R33" i="5"/>
  <c r="L6" i="5"/>
  <c r="R36" i="5"/>
  <c r="L9" i="5"/>
  <c r="R37" i="5"/>
  <c r="L10" i="5"/>
  <c r="R38" i="5"/>
  <c r="L11" i="5"/>
  <c r="R40" i="5"/>
  <c r="L13" i="5"/>
  <c r="R41" i="5"/>
  <c r="L14" i="5"/>
  <c r="R43" i="5"/>
  <c r="L16" i="5"/>
  <c r="R44" i="5"/>
  <c r="L17" i="5"/>
  <c r="R45" i="5"/>
  <c r="L18" i="5"/>
  <c r="R46" i="5"/>
  <c r="L19" i="5"/>
  <c r="R47" i="5"/>
  <c r="L20" i="5"/>
  <c r="K21" i="10"/>
  <c r="L21" i="10" s="1"/>
  <c r="K20" i="10"/>
  <c r="L20" i="10" s="1"/>
  <c r="K19" i="10"/>
  <c r="L19" i="10" s="1"/>
  <c r="K18" i="10"/>
  <c r="L18" i="10" s="1"/>
  <c r="K17" i="10"/>
  <c r="L17" i="10" s="1"/>
  <c r="K16" i="10"/>
  <c r="L16" i="10" s="1"/>
  <c r="K14" i="10"/>
  <c r="L14" i="10" s="1"/>
  <c r="K13" i="10"/>
  <c r="L13" i="10" s="1"/>
  <c r="K11" i="10"/>
  <c r="L11" i="10" s="1"/>
  <c r="K10" i="10"/>
  <c r="L10" i="10" s="1"/>
  <c r="K9" i="10"/>
  <c r="L9" i="10" s="1"/>
  <c r="K6" i="10"/>
  <c r="L6" i="10" s="1"/>
  <c r="K5" i="10"/>
  <c r="L5" i="10" s="1"/>
  <c r="R30" i="5"/>
  <c r="R32" i="5"/>
  <c r="L3" i="10" l="1"/>
  <c r="M3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<sst xmlns="http://schemas.openxmlformats.org/spreadsheetml/2006/main" count="349" uniqueCount="156">
  <si>
    <r>
      <rPr>
        <b/>
        <sz val="10"/>
        <color rgb="FFFFFFFF"/>
        <rFont val="Arial"/>
      </rPr>
      <t>Order ID</t>
    </r>
    <r>
      <rPr>
        <sz val="10"/>
        <color rgb="FFFFFFFF"/>
        <rFont val="Arial"/>
      </rPr>
      <t> </t>
    </r>
  </si>
  <si>
    <r>
      <t>Order Date</t>
    </r>
    <r>
      <rPr>
        <sz val="10"/>
        <color rgb="FFFFFFFF"/>
        <rFont val="Arial"/>
        <charset val="1"/>
      </rPr>
      <t> </t>
    </r>
  </si>
  <si>
    <r>
      <t>Product ID</t>
    </r>
    <r>
      <rPr>
        <sz val="10"/>
        <color rgb="FFFFFFFF"/>
        <rFont val="Arial"/>
        <charset val="1"/>
      </rPr>
      <t> </t>
    </r>
  </si>
  <si>
    <r>
      <t>Customer ID</t>
    </r>
    <r>
      <rPr>
        <sz val="10"/>
        <color rgb="FFFFFFFF"/>
        <rFont val="Arial"/>
        <charset val="1"/>
      </rPr>
      <t> </t>
    </r>
  </si>
  <si>
    <r>
      <t>Units Sold</t>
    </r>
    <r>
      <rPr>
        <sz val="10"/>
        <color rgb="FFFFFFFF"/>
        <rFont val="Arial"/>
        <charset val="1"/>
      </rPr>
      <t> </t>
    </r>
  </si>
  <si>
    <t>1001 </t>
  </si>
  <si>
    <t>01/03/2025 </t>
  </si>
  <si>
    <t>P001 </t>
  </si>
  <si>
    <t>C001 </t>
  </si>
  <si>
    <t>3 </t>
  </si>
  <si>
    <t>1002 </t>
  </si>
  <si>
    <t>03/03/2025 </t>
  </si>
  <si>
    <t>P002 </t>
  </si>
  <si>
    <t>C002 </t>
  </si>
  <si>
    <t>15 </t>
  </si>
  <si>
    <t>1003 </t>
  </si>
  <si>
    <t>05/03/2025 </t>
  </si>
  <si>
    <t>C003 </t>
  </si>
  <si>
    <t>2 </t>
  </si>
  <si>
    <t>1004 </t>
  </si>
  <si>
    <t>07/03/2025 </t>
  </si>
  <si>
    <t>P005 </t>
  </si>
  <si>
    <t>8 </t>
  </si>
  <si>
    <t>1005 </t>
  </si>
  <si>
    <t>10/03/2025 </t>
  </si>
  <si>
    <t>P003 </t>
  </si>
  <si>
    <t>C004 </t>
  </si>
  <si>
    <t>4 </t>
  </si>
  <si>
    <t>1006 </t>
  </si>
  <si>
    <t>12/03/2025 </t>
  </si>
  <si>
    <t>P007 </t>
  </si>
  <si>
    <t>5 </t>
  </si>
  <si>
    <t>1007 </t>
  </si>
  <si>
    <t>15/03/2025 </t>
  </si>
  <si>
    <t>C005 </t>
  </si>
  <si>
    <t>20 </t>
  </si>
  <si>
    <t>1008 </t>
  </si>
  <si>
    <t>17/03/2025 </t>
  </si>
  <si>
    <t>P004 </t>
  </si>
  <si>
    <t>6 </t>
  </si>
  <si>
    <t>1009 </t>
  </si>
  <si>
    <t>19/03/2025 </t>
  </si>
  <si>
    <t>C006 </t>
  </si>
  <si>
    <t>1 </t>
  </si>
  <si>
    <t>1010 </t>
  </si>
  <si>
    <t>21/03/2025 </t>
  </si>
  <si>
    <t>P008 </t>
  </si>
  <si>
    <t>10 </t>
  </si>
  <si>
    <t>1011 </t>
  </si>
  <si>
    <t>24/03/2025 </t>
  </si>
  <si>
    <t>12 </t>
  </si>
  <si>
    <t>1012 </t>
  </si>
  <si>
    <t>26/03/2025 </t>
  </si>
  <si>
    <t>P009 </t>
  </si>
  <si>
    <t>40 </t>
  </si>
  <si>
    <t>1013 </t>
  </si>
  <si>
    <t>28/03/2025 </t>
  </si>
  <si>
    <t>1014 </t>
  </si>
  <si>
    <t>01/04/2025 </t>
  </si>
  <si>
    <t>1015 </t>
  </si>
  <si>
    <t>03/04/2025 </t>
  </si>
  <si>
    <t>P010 </t>
  </si>
  <si>
    <t>7 </t>
  </si>
  <si>
    <t>1016 </t>
  </si>
  <si>
    <t>05/04/2025 </t>
  </si>
  <si>
    <t>P006 </t>
  </si>
  <si>
    <t>9 </t>
  </si>
  <si>
    <t>1017 </t>
  </si>
  <si>
    <t>08/04/2025 </t>
  </si>
  <si>
    <t>1018 </t>
  </si>
  <si>
    <t>10/04/2025 </t>
  </si>
  <si>
    <t>25 </t>
  </si>
  <si>
    <t>1019 </t>
  </si>
  <si>
    <t>12/04/2025 </t>
  </si>
  <si>
    <t>1020 </t>
  </si>
  <si>
    <t>15/04/2025 </t>
  </si>
  <si>
    <r>
      <rPr>
        <b/>
        <sz val="10"/>
        <color rgb="FFFFFFFF"/>
        <rFont val="Arial"/>
      </rPr>
      <t>Product Name</t>
    </r>
    <r>
      <rPr>
        <sz val="10"/>
        <color rgb="FFFFFFFF"/>
        <rFont val="Arial"/>
      </rPr>
      <t> </t>
    </r>
  </si>
  <si>
    <r>
      <t>Category</t>
    </r>
    <r>
      <rPr>
        <sz val="10"/>
        <color rgb="FFFFFFFF"/>
        <rFont val="Arial"/>
        <charset val="1"/>
      </rPr>
      <t> </t>
    </r>
  </si>
  <si>
    <r>
      <t>Std. Unit Price (€)</t>
    </r>
    <r>
      <rPr>
        <sz val="10"/>
        <color rgb="FFFFFFFF"/>
        <rFont val="Arial"/>
        <charset val="1"/>
      </rPr>
      <t> </t>
    </r>
  </si>
  <si>
    <t>Laptop Pro X </t>
  </si>
  <si>
    <t>Electronics </t>
  </si>
  <si>
    <t>1,200 </t>
  </si>
  <si>
    <t>Wireless Mouse </t>
  </si>
  <si>
    <t>45 </t>
  </si>
  <si>
    <t>Standing Desk </t>
  </si>
  <si>
    <t>Furniture </t>
  </si>
  <si>
    <t>600 </t>
  </si>
  <si>
    <t>Office Chair </t>
  </si>
  <si>
    <t>250 </t>
  </si>
  <si>
    <t>Headphones </t>
  </si>
  <si>
    <t>120 </t>
  </si>
  <si>
    <t>Webcam HD </t>
  </si>
  <si>
    <t>90 </t>
  </si>
  <si>
    <t>Monitor 27" </t>
  </si>
  <si>
    <t>400 </t>
  </si>
  <si>
    <t>Whiteboard </t>
  </si>
  <si>
    <t>Office Supplies </t>
  </si>
  <si>
    <t>80 </t>
  </si>
  <si>
    <t>Printer Ink </t>
  </si>
  <si>
    <t>Laptop Stand </t>
  </si>
  <si>
    <t>Accessories </t>
  </si>
  <si>
    <t>75 </t>
  </si>
  <si>
    <r>
      <t>Customer Name</t>
    </r>
    <r>
      <rPr>
        <sz val="10"/>
        <color rgb="FFFFFFFF"/>
        <rFont val="Arial"/>
        <charset val="1"/>
      </rPr>
      <t> </t>
    </r>
  </si>
  <si>
    <r>
      <t>Region</t>
    </r>
    <r>
      <rPr>
        <sz val="10"/>
        <color rgb="FFFFFFFF"/>
        <rFont val="Arial"/>
        <charset val="1"/>
      </rPr>
      <t> </t>
    </r>
  </si>
  <si>
    <r>
      <t>Country</t>
    </r>
    <r>
      <rPr>
        <sz val="10"/>
        <color rgb="FFFFFFFF"/>
        <rFont val="Arial"/>
        <charset val="1"/>
      </rPr>
      <t> </t>
    </r>
  </si>
  <si>
    <t>TechCorp GmbH </t>
  </si>
  <si>
    <t>North </t>
  </si>
  <si>
    <t>Germany </t>
  </si>
  <si>
    <t>BrightSales Ltd </t>
  </si>
  <si>
    <t>South </t>
  </si>
  <si>
    <t>United Kingdom </t>
  </si>
  <si>
    <t>Nexus Retail </t>
  </si>
  <si>
    <t>East </t>
  </si>
  <si>
    <t>France </t>
  </si>
  <si>
    <t>Alpine Supplies </t>
  </si>
  <si>
    <t>West </t>
  </si>
  <si>
    <t>Switzerland </t>
  </si>
  <si>
    <t>Metro Office </t>
  </si>
  <si>
    <t>Austria </t>
  </si>
  <si>
    <t>Delta Systems </t>
  </si>
  <si>
    <t>Netherlands </t>
  </si>
  <si>
    <r>
      <t>Lookup Key</t>
    </r>
    <r>
      <rPr>
        <sz val="10"/>
        <color rgb="FFFFFFFF"/>
        <rFont val="Arial"/>
        <charset val="1"/>
      </rPr>
      <t> </t>
    </r>
  </si>
  <si>
    <r>
      <rPr>
        <b/>
        <sz val="10"/>
        <color rgb="FFFFFFFF"/>
        <rFont val="Arial"/>
      </rPr>
      <t>Negotiated Price (€)</t>
    </r>
    <r>
      <rPr>
        <sz val="10"/>
        <color rgb="FFFFFFFF"/>
        <rFont val="Arial"/>
      </rPr>
      <t> </t>
    </r>
  </si>
  <si>
    <t>P001-C001 </t>
  </si>
  <si>
    <t>1,050 </t>
  </si>
  <si>
    <t>P001-C003 </t>
  </si>
  <si>
    <t>1,100 </t>
  </si>
  <si>
    <t>P002-C005 </t>
  </si>
  <si>
    <t>38 </t>
  </si>
  <si>
    <t>P005-C004 </t>
  </si>
  <si>
    <t>105 </t>
  </si>
  <si>
    <t>P007-C002 </t>
  </si>
  <si>
    <t>360 </t>
  </si>
  <si>
    <t>P003-C006 </t>
  </si>
  <si>
    <t>550 </t>
  </si>
  <si>
    <r>
      <t>Order ID</t>
    </r>
    <r>
      <rPr>
        <sz val="9"/>
        <color rgb="FFFFFFFF"/>
        <rFont val="Arial"/>
        <charset val="1"/>
      </rPr>
      <t> </t>
    </r>
  </si>
  <si>
    <r>
      <t>Product ID</t>
    </r>
    <r>
      <rPr>
        <sz val="9"/>
        <color rgb="FFFFFFFF"/>
        <rFont val="Arial"/>
        <charset val="1"/>
      </rPr>
      <t> </t>
    </r>
  </si>
  <si>
    <r>
      <t>Customer ID</t>
    </r>
    <r>
      <rPr>
        <sz val="9"/>
        <color rgb="FFFFFFFF"/>
        <rFont val="Arial"/>
        <charset val="1"/>
      </rPr>
      <t> </t>
    </r>
  </si>
  <si>
    <r>
      <t>Units</t>
    </r>
    <r>
      <rPr>
        <sz val="9"/>
        <color rgb="FFFFFFFF"/>
        <rFont val="Arial"/>
        <charset val="1"/>
      </rPr>
      <t> </t>
    </r>
  </si>
  <si>
    <r>
      <t>Product Name</t>
    </r>
    <r>
      <rPr>
        <sz val="9"/>
        <color rgb="FFFFFFFF"/>
        <rFont val="Arial"/>
        <charset val="1"/>
      </rPr>
      <t> </t>
    </r>
  </si>
  <si>
    <r>
      <t>Category</t>
    </r>
    <r>
      <rPr>
        <sz val="9"/>
        <color rgb="FFFFFFFF"/>
        <rFont val="Arial"/>
        <charset val="1"/>
      </rPr>
      <t> </t>
    </r>
  </si>
  <si>
    <r>
      <t>Customer Name</t>
    </r>
    <r>
      <rPr>
        <sz val="9"/>
        <color rgb="FFFFFFFF"/>
        <rFont val="Arial"/>
        <charset val="1"/>
      </rPr>
      <t> </t>
    </r>
  </si>
  <si>
    <r>
      <rPr>
        <b/>
        <sz val="9"/>
        <color rgb="FFFFFFFF"/>
        <rFont val="Arial"/>
      </rPr>
      <t>Region</t>
    </r>
    <r>
      <rPr>
        <sz val="9"/>
        <color rgb="FFFFFFFF"/>
        <rFont val="Arial"/>
      </rPr>
      <t> </t>
    </r>
  </si>
  <si>
    <r>
      <t>Std. Price €</t>
    </r>
    <r>
      <rPr>
        <sz val="9"/>
        <color rgb="FFFFFFFF"/>
        <rFont val="Arial"/>
        <charset val="1"/>
      </rPr>
      <t> </t>
    </r>
  </si>
  <si>
    <r>
      <rPr>
        <b/>
        <sz val="9"/>
        <color rgb="FFFFFFFF"/>
        <rFont val="Arial"/>
      </rPr>
      <t>Neg. Price €</t>
    </r>
    <r>
      <rPr>
        <sz val="9"/>
        <color rgb="FFFFFFFF"/>
        <rFont val="Arial"/>
      </rPr>
      <t> </t>
    </r>
  </si>
  <si>
    <r>
      <t>Applied Price €</t>
    </r>
    <r>
      <rPr>
        <sz val="9"/>
        <color rgb="FFFFFFFF"/>
        <rFont val="Arial"/>
        <charset val="1"/>
      </rPr>
      <t> </t>
    </r>
  </si>
  <si>
    <r>
      <rPr>
        <b/>
        <sz val="9"/>
        <color rgb="FFFFFFFF"/>
        <rFont val="Arial"/>
      </rPr>
      <t>Line Total €</t>
    </r>
    <r>
      <rPr>
        <sz val="9"/>
        <color rgb="FFFFFFFF"/>
        <rFont val="Arial"/>
      </rPr>
      <t> </t>
    </r>
  </si>
  <si>
    <t>Revenue</t>
  </si>
  <si>
    <t>Sum of Line Total € </t>
  </si>
  <si>
    <t>Category </t>
  </si>
  <si>
    <t>Region </t>
  </si>
  <si>
    <t>Grand Total</t>
  </si>
  <si>
    <t>Product Name </t>
  </si>
  <si>
    <t>Count of Units </t>
  </si>
  <si>
    <t>Std. Price € 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</si>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</sst>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164" formatCode="&quot;$&quot;#,##0"/>
    <numFmt numFmtId="165" formatCode="_([$€-2]\ * #,##0.00_);_([$€-2]\ * \(#,##0.00\);_([$€-2]\ * &quot;-&quot;??_);_(@_)"/>
    <numFmt numFmtId="166" formatCode="0_);\(0\)"/>
  </numFmts>
  <fonts count="15">
    <font>
      <sz val="11"/>
      <color theme="1"/>
      <name val="Aptos Narrow"/>
      <family val="2"/>
      <scheme val="minor"/>
    </font>
    <font>
      <sz val="10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</font>
    <font>
      <sz val="10"/>
      <color rgb="FFFFFFFF"/>
      <name val="Arial"/>
    </font>
    <font>
      <sz val="9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212121"/>
      <name val="Arial"/>
      <charset val="1"/>
    </font>
    <font>
      <i/>
      <sz val="9"/>
      <color rgb="FF195175"/>
      <name val="Arial"/>
      <charset val="1"/>
    </font>
    <font>
      <i/>
      <sz val="9"/>
      <color rgb="FF195175"/>
      <name val="Arial"/>
    </font>
    <font>
      <b/>
      <sz val="9"/>
      <color rgb="FFFFFFFF"/>
      <name val="Arial"/>
    </font>
    <font>
      <sz val="9"/>
      <color rgb="FFFFFFFF"/>
      <name val="Arial"/>
    </font>
    <font>
      <sz val="9"/>
      <color rgb="FF195175"/>
      <name val="Arial"/>
    </font>
    <font>
      <sz val="9"/>
      <color rgb="FF000000"/>
      <name val="Menlo"/>
      <charset val="1"/>
    </font>
  </fonts>
  <fills count="6">
    <fill>
      <patternFill patternType="none"/>
    </fill>
    <fill>
      <patternFill patternType="gray125"/>
    </fill>
    <fill>
      <patternFill patternType="solid">
        <fgColor rgb="FF2D74B5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1D2939"/>
        <bgColor indexed="64"/>
      </patternFill>
    </fill>
    <fill>
      <patternFill patternType="solid">
        <fgColor rgb="FF195175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2D74B5"/>
      </left>
      <right style="thin">
        <color rgb="FF2D74B5"/>
      </right>
      <top style="thin">
        <color rgb="FF000000"/>
      </top>
      <bottom style="thin">
        <color rgb="FFCCCCCC"/>
      </bottom>
      <diagonal/>
    </border>
    <border>
      <left style="thin">
        <color rgb="FF2D74B5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2D74B5"/>
      </right>
      <top/>
      <bottom style="thin">
        <color rgb="FFCCCCCC"/>
      </bottom>
      <diagonal/>
    </border>
    <border>
      <left style="thin">
        <color rgb="FF2D74B5"/>
      </left>
      <right style="thin">
        <color rgb="FF2D74B5"/>
      </right>
      <top/>
      <bottom style="thin">
        <color rgb="FFCCCCCC"/>
      </bottom>
      <diagonal/>
    </border>
    <border>
      <left style="thin">
        <color rgb="FF2D74B5"/>
      </left>
      <right style="thin">
        <color rgb="FF000000"/>
      </right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2" fillId="2" borderId="1" xfId="0" applyFont="1" applyFill="1" applyBorder="1" applyAlignment="1">
      <alignment wrapText="1" readingOrder="1"/>
    </xf>
    <xf numFmtId="0" fontId="2" fillId="2" borderId="2" xfId="0" applyFont="1" applyFill="1" applyBorder="1" applyAlignment="1">
      <alignment wrapText="1" readingOrder="1"/>
    </xf>
    <xf numFmtId="0" fontId="2" fillId="2" borderId="3" xfId="0" applyFont="1" applyFill="1" applyBorder="1" applyAlignment="1">
      <alignment wrapText="1" readingOrder="1"/>
    </xf>
    <xf numFmtId="0" fontId="3" fillId="0" borderId="4" xfId="0" applyFont="1" applyBorder="1" applyAlignment="1">
      <alignment wrapText="1" readingOrder="1"/>
    </xf>
    <xf numFmtId="0" fontId="3" fillId="0" borderId="5" xfId="0" applyFont="1" applyBorder="1" applyAlignment="1">
      <alignment wrapText="1" readingOrder="1"/>
    </xf>
    <xf numFmtId="0" fontId="3" fillId="0" borderId="6" xfId="0" applyFont="1" applyBorder="1" applyAlignment="1">
      <alignment wrapText="1" readingOrder="1"/>
    </xf>
    <xf numFmtId="0" fontId="3" fillId="3" borderId="4" xfId="0" applyFont="1" applyFill="1" applyBorder="1" applyAlignment="1">
      <alignment wrapText="1" readingOrder="1"/>
    </xf>
    <xf numFmtId="0" fontId="3" fillId="3" borderId="5" xfId="0" applyFont="1" applyFill="1" applyBorder="1" applyAlignment="1">
      <alignment wrapText="1" readingOrder="1"/>
    </xf>
    <xf numFmtId="0" fontId="3" fillId="3" borderId="6" xfId="0" applyFont="1" applyFill="1" applyBorder="1" applyAlignment="1">
      <alignment wrapText="1" readingOrder="1"/>
    </xf>
    <xf numFmtId="0" fontId="3" fillId="3" borderId="7" xfId="0" applyFont="1" applyFill="1" applyBorder="1" applyAlignment="1">
      <alignment wrapText="1" readingOrder="1"/>
    </xf>
    <xf numFmtId="0" fontId="3" fillId="3" borderId="8" xfId="0" applyFont="1" applyFill="1" applyBorder="1" applyAlignment="1">
      <alignment wrapText="1" readingOrder="1"/>
    </xf>
    <xf numFmtId="0" fontId="3" fillId="3" borderId="9" xfId="0" applyFont="1" applyFill="1" applyBorder="1" applyAlignment="1">
      <alignment wrapText="1" readingOrder="1"/>
    </xf>
    <xf numFmtId="14" fontId="3" fillId="0" borderId="5" xfId="0" applyNumberFormat="1" applyFont="1" applyBorder="1" applyAlignment="1">
      <alignment wrapText="1" readingOrder="1"/>
    </xf>
    <xf numFmtId="14" fontId="3" fillId="3" borderId="5" xfId="0" applyNumberFormat="1" applyFont="1" applyFill="1" applyBorder="1" applyAlignment="1">
      <alignment wrapText="1" readingOrder="1"/>
    </xf>
    <xf numFmtId="0" fontId="2" fillId="2" borderId="10" xfId="0" applyFont="1" applyFill="1" applyBorder="1" applyAlignment="1">
      <alignment wrapText="1" readingOrder="1"/>
    </xf>
    <xf numFmtId="0" fontId="2" fillId="2" borderId="11" xfId="0" applyFont="1" applyFill="1" applyBorder="1" applyAlignment="1">
      <alignment wrapText="1" readingOrder="1"/>
    </xf>
    <xf numFmtId="0" fontId="2" fillId="2" borderId="12" xfId="0" applyFont="1" applyFill="1" applyBorder="1" applyAlignment="1">
      <alignment wrapText="1" readingOrder="1"/>
    </xf>
    <xf numFmtId="0" fontId="3" fillId="0" borderId="13" xfId="0" applyFont="1" applyBorder="1" applyAlignment="1">
      <alignment wrapText="1" readingOrder="1"/>
    </xf>
    <xf numFmtId="0" fontId="3" fillId="0" borderId="14" xfId="0" applyFont="1" applyBorder="1" applyAlignment="1">
      <alignment wrapText="1" readingOrder="1"/>
    </xf>
    <xf numFmtId="0" fontId="3" fillId="0" borderId="15" xfId="0" applyFont="1" applyBorder="1" applyAlignment="1">
      <alignment wrapText="1" readingOrder="1"/>
    </xf>
    <xf numFmtId="0" fontId="3" fillId="0" borderId="7" xfId="0" applyFont="1" applyBorder="1" applyAlignment="1">
      <alignment wrapText="1" readingOrder="1"/>
    </xf>
    <xf numFmtId="0" fontId="3" fillId="0" borderId="8" xfId="0" applyFont="1" applyBorder="1" applyAlignment="1">
      <alignment wrapText="1" readingOrder="1"/>
    </xf>
    <xf numFmtId="0" fontId="3" fillId="3" borderId="13" xfId="0" applyFont="1" applyFill="1" applyBorder="1" applyAlignment="1">
      <alignment wrapText="1" readingOrder="1"/>
    </xf>
    <xf numFmtId="0" fontId="3" fillId="3" borderId="14" xfId="0" applyFont="1" applyFill="1" applyBorder="1" applyAlignment="1">
      <alignment wrapText="1" readingOrder="1"/>
    </xf>
    <xf numFmtId="0" fontId="3" fillId="3" borderId="15" xfId="0" applyFont="1" applyFill="1" applyBorder="1" applyAlignment="1">
      <alignment wrapText="1" readingOrder="1"/>
    </xf>
    <xf numFmtId="0" fontId="8" fillId="0" borderId="18" xfId="0" applyFont="1" applyBorder="1" applyAlignment="1">
      <alignment wrapText="1" readingOrder="1"/>
    </xf>
    <xf numFmtId="0" fontId="9" fillId="3" borderId="18" xfId="0" applyFont="1" applyFill="1" applyBorder="1" applyAlignment="1">
      <alignment wrapText="1" readingOrder="1"/>
    </xf>
    <xf numFmtId="0" fontId="0" fillId="0" borderId="19" xfId="0" applyBorder="1"/>
    <xf numFmtId="0" fontId="10" fillId="3" borderId="18" xfId="0" applyFont="1" applyFill="1" applyBorder="1" applyAlignment="1">
      <alignment wrapText="1" readingOrder="1"/>
    </xf>
    <xf numFmtId="0" fontId="3" fillId="0" borderId="21" xfId="0" applyFont="1" applyBorder="1" applyAlignment="1">
      <alignment wrapText="1" readingOrder="1"/>
    </xf>
    <xf numFmtId="0" fontId="3" fillId="3" borderId="21" xfId="0" applyFont="1" applyFill="1" applyBorder="1" applyAlignment="1">
      <alignment wrapText="1" readingOrder="1"/>
    </xf>
    <xf numFmtId="0" fontId="3" fillId="0" borderId="22" xfId="0" applyFont="1" applyBorder="1" applyAlignment="1">
      <alignment wrapText="1" readingOrder="1"/>
    </xf>
    <xf numFmtId="0" fontId="3" fillId="3" borderId="22" xfId="0" applyFont="1" applyFill="1" applyBorder="1" applyAlignment="1">
      <alignment wrapText="1" readingOrder="1"/>
    </xf>
    <xf numFmtId="0" fontId="4" fillId="2" borderId="23" xfId="0" applyFont="1" applyFill="1" applyBorder="1" applyAlignment="1">
      <alignment wrapText="1" readingOrder="1"/>
    </xf>
    <xf numFmtId="14" fontId="2" fillId="2" borderId="23" xfId="0" applyNumberFormat="1" applyFont="1" applyFill="1" applyBorder="1" applyAlignment="1">
      <alignment wrapText="1" readingOrder="1"/>
    </xf>
    <xf numFmtId="0" fontId="2" fillId="2" borderId="23" xfId="0" applyFont="1" applyFill="1" applyBorder="1" applyAlignment="1">
      <alignment wrapText="1" readingOrder="1"/>
    </xf>
    <xf numFmtId="0" fontId="3" fillId="3" borderId="24" xfId="0" applyFont="1" applyFill="1" applyBorder="1" applyAlignment="1">
      <alignment wrapText="1" readingOrder="1"/>
    </xf>
    <xf numFmtId="0" fontId="3" fillId="3" borderId="18" xfId="0" applyFont="1" applyFill="1" applyBorder="1" applyAlignment="1">
      <alignment wrapText="1" readingOrder="1"/>
    </xf>
    <xf numFmtId="0" fontId="3" fillId="3" borderId="25" xfId="0" applyFont="1" applyFill="1" applyBorder="1" applyAlignment="1">
      <alignment wrapText="1" readingOrder="1"/>
    </xf>
    <xf numFmtId="0" fontId="0" fillId="0" borderId="0" xfId="0" pivotButton="1"/>
    <xf numFmtId="0" fontId="0" fillId="0" borderId="0" xfId="0" applyNumberFormat="1"/>
    <xf numFmtId="0" fontId="4" fillId="2" borderId="11" xfId="0" applyFont="1" applyFill="1" applyBorder="1" applyAlignment="1">
      <alignment wrapText="1" readingOrder="1"/>
    </xf>
    <xf numFmtId="2" fontId="3" fillId="0" borderId="9" xfId="0" applyNumberFormat="1" applyFont="1" applyBorder="1" applyAlignment="1">
      <alignment wrapText="1" readingOrder="1"/>
    </xf>
    <xf numFmtId="164" fontId="4" fillId="2" borderId="3" xfId="0" applyNumberFormat="1" applyFont="1" applyFill="1" applyBorder="1" applyAlignment="1">
      <alignment wrapText="1" readingOrder="1"/>
    </xf>
    <xf numFmtId="0" fontId="13" fillId="3" borderId="18" xfId="0" applyFont="1" applyFill="1" applyBorder="1" applyAlignment="1">
      <alignment wrapText="1" readingOrder="1"/>
    </xf>
    <xf numFmtId="165" fontId="9" fillId="3" borderId="18" xfId="0" applyNumberFormat="1" applyFont="1" applyFill="1" applyBorder="1" applyAlignment="1">
      <alignment wrapText="1" readingOrder="1"/>
    </xf>
    <xf numFmtId="165" fontId="0" fillId="0" borderId="0" xfId="0" applyNumberFormat="1"/>
    <xf numFmtId="2" fontId="9" fillId="3" borderId="18" xfId="0" applyNumberFormat="1" applyFont="1" applyFill="1" applyBorder="1" applyAlignment="1">
      <alignment wrapText="1" readingOrder="1"/>
    </xf>
    <xf numFmtId="2" fontId="0" fillId="0" borderId="0" xfId="0" applyNumberFormat="1"/>
    <xf numFmtId="2" fontId="11" fillId="5" borderId="16" xfId="0" applyNumberFormat="1" applyFont="1" applyFill="1" applyBorder="1" applyAlignment="1">
      <alignment wrapText="1" readingOrder="1"/>
    </xf>
    <xf numFmtId="2" fontId="3" fillId="3" borderId="15" xfId="0" applyNumberFormat="1" applyFont="1" applyFill="1" applyBorder="1" applyAlignment="1">
      <alignment wrapText="1" readingOrder="1"/>
    </xf>
    <xf numFmtId="2" fontId="3" fillId="0" borderId="6" xfId="0" applyNumberFormat="1" applyFont="1" applyBorder="1" applyAlignment="1">
      <alignment wrapText="1" readingOrder="1"/>
    </xf>
    <xf numFmtId="2" fontId="3" fillId="3" borderId="6" xfId="0" applyNumberFormat="1" applyFont="1" applyFill="1" applyBorder="1" applyAlignment="1">
      <alignment wrapText="1" readingOrder="1"/>
    </xf>
    <xf numFmtId="2" fontId="3" fillId="3" borderId="9" xfId="0" applyNumberFormat="1" applyFont="1" applyFill="1" applyBorder="1" applyAlignment="1">
      <alignment wrapText="1" readingOrder="1"/>
    </xf>
    <xf numFmtId="1" fontId="9" fillId="3" borderId="20" xfId="0" applyNumberFormat="1" applyFont="1" applyFill="1" applyBorder="1"/>
    <xf numFmtId="37" fontId="9" fillId="3" borderId="18" xfId="0" applyNumberFormat="1" applyFont="1" applyFill="1" applyBorder="1" applyAlignment="1">
      <alignment wrapText="1" readingOrder="1"/>
    </xf>
    <xf numFmtId="5" fontId="9" fillId="3" borderId="18" xfId="0" applyNumberFormat="1" applyFont="1" applyFill="1" applyBorder="1" applyAlignment="1">
      <alignment wrapText="1" readingOrder="1"/>
    </xf>
    <xf numFmtId="1" fontId="11" fillId="5" borderId="17" xfId="0" applyNumberFormat="1" applyFont="1" applyFill="1" applyBorder="1" applyAlignment="1">
      <alignment wrapText="1" readingOrder="1"/>
    </xf>
    <xf numFmtId="166" fontId="0" fillId="0" borderId="0" xfId="0" applyNumberFormat="1"/>
    <xf numFmtId="166" fontId="9" fillId="3" borderId="18" xfId="0" applyNumberFormat="1" applyFont="1" applyFill="1" applyBorder="1" applyAlignment="1">
      <alignment wrapText="1" readingOrder="1"/>
    </xf>
    <xf numFmtId="37" fontId="0" fillId="0" borderId="19" xfId="0" applyNumberFormat="1" applyBorder="1"/>
    <xf numFmtId="37" fontId="0" fillId="0" borderId="0" xfId="0" applyNumberFormat="1"/>
    <xf numFmtId="0" fontId="8" fillId="0" borderId="24" xfId="0" applyFont="1" applyBorder="1" applyAlignment="1">
      <alignment wrapText="1" readingOrder="1"/>
    </xf>
    <xf numFmtId="0" fontId="0" fillId="0" borderId="26" xfId="0" applyBorder="1"/>
    <xf numFmtId="0" fontId="7" fillId="4" borderId="27" xfId="0" applyFont="1" applyFill="1" applyBorder="1" applyAlignment="1">
      <alignment wrapText="1" readingOrder="1"/>
    </xf>
    <xf numFmtId="0" fontId="7" fillId="4" borderId="28" xfId="0" applyFont="1" applyFill="1" applyBorder="1" applyAlignment="1">
      <alignment wrapText="1" readingOrder="1"/>
    </xf>
    <xf numFmtId="37" fontId="7" fillId="4" borderId="28" xfId="0" applyNumberFormat="1" applyFont="1" applyFill="1" applyBorder="1" applyAlignment="1">
      <alignment wrapText="1" readingOrder="1"/>
    </xf>
    <xf numFmtId="0" fontId="7" fillId="5" borderId="28" xfId="0" applyFont="1" applyFill="1" applyBorder="1" applyAlignment="1">
      <alignment wrapText="1" readingOrder="1"/>
    </xf>
    <xf numFmtId="0" fontId="11" fillId="5" borderId="28" xfId="0" applyFont="1" applyFill="1" applyBorder="1" applyAlignment="1">
      <alignment wrapText="1" readingOrder="1"/>
    </xf>
    <xf numFmtId="165" fontId="7" fillId="5" borderId="28" xfId="0" applyNumberFormat="1" applyFont="1" applyFill="1" applyBorder="1" applyAlignment="1">
      <alignment wrapText="1" readingOrder="1"/>
    </xf>
    <xf numFmtId="2" fontId="11" fillId="5" borderId="28" xfId="0" applyNumberFormat="1" applyFont="1" applyFill="1" applyBorder="1" applyAlignment="1">
      <alignment wrapText="1" readingOrder="1"/>
    </xf>
    <xf numFmtId="166" fontId="7" fillId="5" borderId="28" xfId="0" applyNumberFormat="1" applyFont="1" applyFill="1" applyBorder="1" applyAlignment="1">
      <alignment wrapText="1" readingOrder="1"/>
    </xf>
    <xf numFmtId="166" fontId="11" fillId="5" borderId="29" xfId="0" applyNumberFormat="1" applyFont="1" applyFill="1" applyBorder="1" applyAlignment="1">
      <alignment wrapText="1" readingOrder="1"/>
    </xf>
    <xf numFmtId="0" fontId="14" fillId="0" borderId="0" xfId="0" applyFont="1" applyAlignment="1"/>
    <xf numFmtId="166" fontId="11" fillId="5" borderId="30" xfId="0" applyNumberFormat="1" applyFont="1" applyFill="1" applyBorder="1" applyAlignment="1">
      <alignment wrapText="1" readingOrder="1"/>
    </xf>
    <xf numFmtId="166" fontId="11" fillId="5" borderId="28" xfId="0" applyNumberFormat="1" applyFont="1" applyFill="1" applyBorder="1" applyAlignment="1">
      <alignment wrapText="1" readingOrder="1"/>
    </xf>
    <xf numFmtId="166" fontId="3" fillId="0" borderId="9" xfId="0" applyNumberFormat="1" applyFont="1" applyBorder="1" applyAlignment="1">
      <alignment wrapText="1" readingOrder="1"/>
    </xf>
    <xf numFmtId="10" fontId="0" fillId="0" borderId="0" xfId="0" applyNumberFormat="1"/>
  </cellXfs>
  <cellStyles count="1">
    <cellStyle name="Normal" xfId="0" builtinId="0"/>
  </cellStyles>
  <dxfs count="39">
    <dxf>
      <numFmt numFmtId="166" formatCode="0_);\(0\)"/>
    </dxf>
    <dxf>
      <numFmt numFmtId="166" formatCode="0_);\(0\)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195175"/>
        <name val="Arial"/>
        <charset val="1"/>
        <scheme val="none"/>
      </font>
      <numFmt numFmtId="166" formatCode="0_);\(0\)"/>
      <fill>
        <patternFill patternType="solid">
          <fgColor indexed="64"/>
          <bgColor rgb="FFEFF4FA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6" formatCode="0_);\(0\)"/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195175"/>
        <name val="Arial"/>
        <charset val="1"/>
        <scheme val="none"/>
      </font>
      <numFmt numFmtId="165" formatCode="_([$€-2]\ * #,##0.00_);_([$€-2]\ * \(#,##0.00\);_([$€-2]\ * &quot;-&quot;??_);_(@_)"/>
      <fill>
        <patternFill patternType="solid">
          <fgColor indexed="64"/>
          <bgColor rgb="FFEFF4FA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195175"/>
        <name val="Arial"/>
        <charset val="1"/>
        <scheme val="none"/>
      </font>
      <fill>
        <patternFill patternType="solid">
          <fgColor indexed="64"/>
          <bgColor rgb="FFEFF4FA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195175"/>
        <name val="Arial"/>
        <scheme val="none"/>
      </font>
      <fill>
        <patternFill patternType="solid">
          <fgColor indexed="64"/>
          <bgColor rgb="FFEFF4FA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195175"/>
        <name val="Arial"/>
        <scheme val="none"/>
      </font>
      <fill>
        <patternFill patternType="solid">
          <fgColor indexed="64"/>
          <bgColor rgb="FFEFF4FA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95175"/>
        <name val="Arial"/>
        <scheme val="none"/>
      </font>
      <fill>
        <patternFill patternType="solid">
          <fgColor indexed="64"/>
          <bgColor rgb="FFEFF4FA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/>
        <vertical/>
        <horizontal/>
      </border>
    </dxf>
    <dxf>
      <numFmt numFmtId="5" formatCode="#,##0_);\(#,##0\)"/>
      <border diagonalUp="0" diagonalDown="0">
        <left style="thin">
          <color rgb="FFCCCCCC"/>
        </left>
        <right style="thin">
          <color rgb="FFCCCCCC"/>
        </right>
        <top/>
        <bottom style="thin">
          <color rgb="FFCCCCCC"/>
        </bottom>
        <vertical/>
        <horizontal/>
      </border>
    </dxf>
    <dxf>
      <border diagonalUp="0" diagonalDown="0">
        <left style="thin">
          <color rgb="FFCCCCCC"/>
        </left>
        <right style="thin">
          <color rgb="FFCCCCCC"/>
        </right>
        <top/>
        <bottom style="thin">
          <color rgb="FFCCCCCC"/>
        </bottom>
        <vertical/>
        <horizontal/>
      </border>
    </dxf>
    <dxf>
      <border diagonalUp="0" diagonalDown="0">
        <left style="thin">
          <color rgb="FFCCCCCC"/>
        </left>
        <right style="thin">
          <color rgb="FFCCCCCC"/>
        </right>
        <top/>
        <bottom style="thin">
          <color rgb="FFCCCCCC"/>
        </bottom>
        <vertical/>
        <horizontal/>
      </border>
    </dxf>
    <dxf>
      <border diagonalUp="0" diagonalDown="0">
        <left/>
        <right style="thin">
          <color rgb="FFCCCCCC"/>
        </right>
        <top/>
        <bottom style="thin">
          <color rgb="FFCCCCCC"/>
        </bottom>
        <vertical/>
        <horizontal/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top style="thin">
          <color rgb="FF000000"/>
        </top>
      </border>
    </dxf>
    <dxf>
      <numFmt numFmtId="166" formatCode="0_);\(0\)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195175"/>
        <name val="Arial"/>
        <charset val="1"/>
        <scheme val="none"/>
      </font>
      <numFmt numFmtId="166" formatCode="0_);\(0\)"/>
      <fill>
        <patternFill patternType="solid">
          <fgColor indexed="64"/>
          <bgColor rgb="FFEFF4FA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2" formatCode="0.00"/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000000"/>
        </right>
        <top style="thin">
          <color rgb="FFCCCCCC"/>
        </top>
        <bottom style="thin">
          <color rgb="FF000000"/>
        </bottom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195175"/>
        <name val="Arial"/>
        <charset val="1"/>
        <scheme val="none"/>
      </font>
      <numFmt numFmtId="165" formatCode="_([$€-2]\ * #,##0.00_);_([$€-2]\ * \(#,##0.00\);_([$€-2]\ * &quot;-&quot;??_);_(@_)"/>
      <fill>
        <patternFill patternType="solid">
          <fgColor indexed="64"/>
          <bgColor rgb="FFEFF4FA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195175"/>
        <name val="Arial"/>
        <charset val="1"/>
        <scheme val="none"/>
      </font>
      <fill>
        <patternFill patternType="solid">
          <fgColor indexed="64"/>
          <bgColor rgb="FFEFF4FA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195175"/>
        <name val="Arial"/>
        <scheme val="none"/>
      </font>
      <fill>
        <patternFill patternType="solid">
          <fgColor indexed="64"/>
          <bgColor rgb="FFEFF4FA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195175"/>
        <name val="Arial"/>
        <scheme val="none"/>
      </font>
      <fill>
        <patternFill patternType="solid">
          <fgColor indexed="64"/>
          <bgColor rgb="FFEFF4FA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95175"/>
        <name val="Arial"/>
        <scheme val="none"/>
      </font>
      <fill>
        <patternFill patternType="solid">
          <fgColor indexed="64"/>
          <bgColor rgb="FFEFF4FA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/>
        <vertical/>
        <horizontal/>
      </border>
    </dxf>
    <dxf>
      <numFmt numFmtId="5" formatCode="#,##0_);\(#,##0\)"/>
      <border diagonalUp="0" diagonalDown="0">
        <left style="thin">
          <color rgb="FFCCCCCC"/>
        </left>
        <right style="thin">
          <color rgb="FFCCCCCC"/>
        </right>
        <top/>
        <bottom style="thin">
          <color rgb="FFCCCCCC"/>
        </bottom>
        <vertical/>
        <horizontal/>
      </border>
    </dxf>
    <dxf>
      <border diagonalUp="0" diagonalDown="0">
        <left style="thin">
          <color rgb="FFCCCCCC"/>
        </left>
        <right style="thin">
          <color rgb="FFCCCCCC"/>
        </right>
        <top/>
        <bottom style="thin">
          <color rgb="FFCCCCCC"/>
        </bottom>
        <vertical/>
        <horizontal/>
      </border>
    </dxf>
    <dxf>
      <border diagonalUp="0" diagonalDown="0">
        <left style="thin">
          <color rgb="FFCCCCCC"/>
        </left>
        <right style="thin">
          <color rgb="FFCCCCCC"/>
        </right>
        <top/>
        <bottom style="thin">
          <color rgb="FFCCCCCC"/>
        </bottom>
        <vertical/>
        <horizontal/>
      </border>
    </dxf>
    <dxf>
      <border diagonalUp="0" diagonalDown="0">
        <left/>
        <right style="thin">
          <color rgb="FFCCCCCC"/>
        </right>
        <top/>
        <bottom style="thin">
          <color rgb="FFCCCCCC"/>
        </bottom>
        <vertical/>
        <horizontal/>
      </border>
    </dxf>
    <dxf>
      <border outline="0">
        <bottom style="thin">
          <color rgb="FFCCCCCC"/>
        </bottom>
      </border>
    </dxf>
    <dxf>
      <border outline="0">
        <left style="thin">
          <color rgb="FF000000"/>
        </lef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indexed="64"/>
          <bgColor rgb="FFEFF4FA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indexed="64"/>
          <bgColor rgb="FFEFF4FA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indexed="64"/>
          <bgColor rgb="FFEFF4FA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indexed="64"/>
          <bgColor rgb="FFEFF4FA"/>
        </patternFill>
      </fill>
      <alignment horizontal="general" vertical="bottom" textRotation="0" wrapText="1" indent="0" justifyLastLine="0" shrinkToFit="0" readingOrder="1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indexed="64"/>
          <bgColor rgb="FFEFF4FA"/>
        </patternFill>
      </fill>
      <alignment horizontal="general" vertical="bottom" textRotation="0" wrapText="1" indent="0" justifyLastLine="0" shrinkToFit="0" readingOrder="1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auto="1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fill>
        <patternFill patternType="solid">
          <fgColor indexed="64"/>
          <bgColor rgb="FFEFF4FA"/>
        </patternFill>
      </fill>
      <alignment horizontal="general" vertical="bottom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indexed="64"/>
          <bgColor rgb="FF2D74B5"/>
        </patternFill>
      </fill>
      <alignment horizontal="general" vertical="bottom" textRotation="0" wrapText="1" indent="0" justifyLastLine="0" shrinkToFit="0" readingOrder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[sales_vlookup.xlsx]CHRT_1!PivotTable1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 Price Distribution Across Products</a:t>
            </a:r>
          </a:p>
        </c:rich>
      </c:tx>
      <c:layout>
        <c:manualLayout>
          <c:xMode val="edge"/>
          <c:yMode val="edge"/>
          <c:x val="0.2973142004839644"/>
          <c:y val="3.7979631018005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CHRT_1!$C$3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CHRT_1!$A$4:$B$13</c:f>
              <c:multiLvlStrCache>
                <c:ptCount val="10"/>
                <c:lvl>
                  <c:pt idx="0">
                    <c:v>120 </c:v>
                  </c:pt>
                  <c:pt idx="1">
                    <c:v>1,200 </c:v>
                  </c:pt>
                  <c:pt idx="2">
                    <c:v>75 </c:v>
                  </c:pt>
                  <c:pt idx="3">
                    <c:v>400 </c:v>
                  </c:pt>
                  <c:pt idx="4">
                    <c:v>250 </c:v>
                  </c:pt>
                  <c:pt idx="5">
                    <c:v>25 </c:v>
                  </c:pt>
                  <c:pt idx="6">
                    <c:v>600 </c:v>
                  </c:pt>
                  <c:pt idx="7">
                    <c:v>90 </c:v>
                  </c:pt>
                  <c:pt idx="8">
                    <c:v>80 </c:v>
                  </c:pt>
                  <c:pt idx="9">
                    <c:v>45 </c:v>
                  </c:pt>
                </c:lvl>
                <c:lvl>
                  <c:pt idx="0">
                    <c:v>Headphones </c:v>
                  </c:pt>
                  <c:pt idx="1">
                    <c:v>Laptop Pro X </c:v>
                  </c:pt>
                  <c:pt idx="2">
                    <c:v>Laptop Stand </c:v>
                  </c:pt>
                  <c:pt idx="3">
                    <c:v>Monitor 27" </c:v>
                  </c:pt>
                  <c:pt idx="4">
                    <c:v>Office Chair </c:v>
                  </c:pt>
                  <c:pt idx="5">
                    <c:v>Printer Ink </c:v>
                  </c:pt>
                  <c:pt idx="6">
                    <c:v>Standing Desk </c:v>
                  </c:pt>
                  <c:pt idx="7">
                    <c:v>Webcam HD </c:v>
                  </c:pt>
                  <c:pt idx="8">
                    <c:v>Whiteboard </c:v>
                  </c:pt>
                  <c:pt idx="9">
                    <c:v>Wireless Mouse </c:v>
                  </c:pt>
                </c:lvl>
              </c:multiLvlStrCache>
            </c:multiLvlStrRef>
          </c:cat>
          <c:val>
            <c:numRef>
              <c:f>CHRT_1!$C$4:$C$13</c:f>
              <c:numCache>
                <c:formatCode>0.00%</c:formatCode>
                <c:ptCount val="10"/>
                <c:pt idx="0">
                  <c:v>0.10056439199589533</c:v>
                </c:pt>
                <c:pt idx="1">
                  <c:v>0.38823328202497009</c:v>
                </c:pt>
                <c:pt idx="2">
                  <c:v>1.7957927142124165E-2</c:v>
                </c:pt>
                <c:pt idx="3">
                  <c:v>0.10261672652642381</c:v>
                </c:pt>
                <c:pt idx="4">
                  <c:v>9.4065332649221817E-2</c:v>
                </c:pt>
                <c:pt idx="5">
                  <c:v>3.4205575508807935E-2</c:v>
                </c:pt>
                <c:pt idx="6">
                  <c:v>0.11971951428082778</c:v>
                </c:pt>
                <c:pt idx="7">
                  <c:v>2.7706516162134428E-2</c:v>
                </c:pt>
                <c:pt idx="8">
                  <c:v>2.7364460407046348E-2</c:v>
                </c:pt>
                <c:pt idx="9">
                  <c:v>8.756627330254832E-2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5-40D3-9A45-21B1DB92B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[sales_vlookup.xlsx]CHRT_2!PivotTable4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CHRT_2!$B$3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CHRT_2!$A$4:$A$14</c:f>
              <c:strCache>
                <c:ptCount val="10"/>
                <c:pt idx="0">
                  <c:v>Headphones </c:v>
                </c:pt>
                <c:pt idx="1">
                  <c:v>Laptop Pro X </c:v>
                </c:pt>
                <c:pt idx="2">
                  <c:v>Laptop Stand </c:v>
                </c:pt>
                <c:pt idx="3">
                  <c:v>Monitor 27" </c:v>
                </c:pt>
                <c:pt idx="4">
                  <c:v>Office Chair </c:v>
                </c:pt>
                <c:pt idx="5">
                  <c:v>Printer Ink </c:v>
                </c:pt>
                <c:pt idx="6">
                  <c:v>Standing Desk </c:v>
                </c:pt>
                <c:pt idx="7">
                  <c:v>Webcam HD </c:v>
                </c:pt>
                <c:pt idx="8">
                  <c:v>Whiteboard </c:v>
                </c:pt>
                <c:pt idx="9">
                  <c:v>Wireless Mouse </c:v>
                </c:pt>
              </c:strCache>
            </c:strRef>
          </c:cat>
          <c:val>
            <c:numRef>
              <c:f>CHRT_2!$B$4:$B$14</c:f>
              <c:numCache>
                <c:formatCode>0_);\(0\)</c:formatCode>
                <c:ptCount val="10"/>
                <c:pt idx="0">
                  <c:v>2940</c:v>
                </c:pt>
                <c:pt idx="1">
                  <c:v>11350</c:v>
                </c:pt>
                <c:pt idx="2">
                  <c:v>525</c:v>
                </c:pt>
                <c:pt idx="3">
                  <c:v>3000</c:v>
                </c:pt>
                <c:pt idx="4">
                  <c:v>2750</c:v>
                </c:pt>
                <c:pt idx="5">
                  <c:v>1000</c:v>
                </c:pt>
                <c:pt idx="6">
                  <c:v>3500</c:v>
                </c:pt>
                <c:pt idx="7">
                  <c:v>810</c:v>
                </c:pt>
                <c:pt idx="8">
                  <c:v>800</c:v>
                </c:pt>
                <c:pt idx="9">
                  <c:v>2560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BF-489A-B9B4-6CB1015F2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2403719"/>
        <c:axId val="1938997767"/>
      </c:barChart>
      <c:catAx>
        <c:axId val="1332403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997767"/>
        <c:crosses val="autoZero"/>
        <c:auto val="1"/>
        <c:lblAlgn val="ctr"/>
        <c:lblOffset val="100"/>
        <c:noMultiLvlLbl val="0"/>
      </c:catAx>
      <c:valAx>
        <c:axId val="1938997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2403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219075</xdr:colOff>
      <xdr:row>3</xdr:row>
      <xdr:rowOff>57150</xdr:rowOff>
    </xdr:from>
    <xdr:to>
      <xdr:col>6</xdr:col>
      <xdr:colOff>542925</xdr:colOff>
      <xdr:row>18</xdr:row>
      <xdr:rowOff>85725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 ID ">
              <a:extLst>
                <a:ext uri="{FF2B5EF4-FFF2-40B4-BE49-F238E27FC236}">
                  <a16:creationId xmlns:a16="http://schemas.microsoft.com/office/drawing/2014/main" id="{7C1F320D-6CD2-0382-E62F-A5A48F53C7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 ID 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05175" y="628650"/>
              <a:ext cx="2543175" cy="2886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7</xdr:col>
      <xdr:colOff>304800</xdr:colOff>
      <xdr:row>2</xdr:row>
      <xdr:rowOff>133350</xdr:rowOff>
    </xdr:from>
    <xdr:to>
      <xdr:col>18</xdr:col>
      <xdr:colOff>342900</xdr:colOff>
      <xdr:row>25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FE6841-273F-9C4F-7F79-2C436C30D159}"/>
            </a:ext>
            <a:ext uri="{147F2762-F138-4A5C-976F-8EAC2B608ADB}">
              <a16:predDERef xmlns:a16="http://schemas.microsoft.com/office/drawing/2014/main" pred="{7C1F320D-6CD2-0382-E62F-A5A48F53C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1038225</xdr:colOff>
      <xdr:row>2</xdr:row>
      <xdr:rowOff>133350</xdr:rowOff>
    </xdr:from>
    <xdr:to>
      <xdr:col>13</xdr:col>
      <xdr:colOff>542925</xdr:colOff>
      <xdr:row>20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867B18-1F49-36D9-709E-8979DD917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4.712560185188" createdVersion="8" refreshedVersion="8" minRefreshableVersion="3" recordCount="20" xr:uid="{4E0E5D9A-4001-4191-AA92-53E19C59D475}">
  <cacheSource type="worksheet">
    <worksheetSource name="Table24"/>
  </cacheSource>
  <cacheFields count="13">
    <cacheField name="Order ID " numFmtId="0">
      <sharedItems/>
    </cacheField>
    <cacheField name="Product ID " numFmtId="0">
      <sharedItems count="10">
        <s v="P001 "/>
        <s v="P002 "/>
        <s v="P005 "/>
        <s v="P003 "/>
        <s v="P007 "/>
        <s v="P004 "/>
        <s v="P008 "/>
        <s v="P009 "/>
        <s v="P010 "/>
        <s v="P006 "/>
      </sharedItems>
    </cacheField>
    <cacheField name="Customer ID " numFmtId="0">
      <sharedItems/>
    </cacheField>
    <cacheField name="Units " numFmtId="37">
      <sharedItems/>
    </cacheField>
    <cacheField name="Product Name " numFmtId="0">
      <sharedItems count="10">
        <s v="Laptop Pro X "/>
        <s v="Wireless Mouse "/>
        <s v="Headphones "/>
        <s v="Standing Desk "/>
        <s v="Monitor 27&quot; "/>
        <s v="Office Chair "/>
        <s v="Whiteboard "/>
        <s v="Printer Ink "/>
        <s v="Laptop Stand "/>
        <s v="Webcam HD "/>
      </sharedItems>
    </cacheField>
    <cacheField name="Category " numFmtId="0">
      <sharedItems/>
    </cacheField>
    <cacheField name="Customer Name " numFmtId="0">
      <sharedItems/>
    </cacheField>
    <cacheField name="Region " numFmtId="0">
      <sharedItems/>
    </cacheField>
    <cacheField name="Std. Price € " numFmtId="165">
      <sharedItems count="10">
        <s v="1,200 "/>
        <s v="45 "/>
        <s v="120 "/>
        <s v="600 "/>
        <s v="400 "/>
        <s v="250 "/>
        <s v="80 "/>
        <s v="25 "/>
        <s v="75 "/>
        <s v="90 "/>
      </sharedItems>
    </cacheField>
    <cacheField name="Neg. Price € " numFmtId="166">
      <sharedItems containsMixedTypes="1" containsNumber="1" containsInteger="1" minValue="0" maxValue="0"/>
    </cacheField>
    <cacheField name="Applied Price € " numFmtId="166">
      <sharedItems count="16">
        <s v="1,050 "/>
        <s v="45 "/>
        <s v="1,100 "/>
        <s v="120 "/>
        <s v="600 "/>
        <s v="360 "/>
        <s v="38 "/>
        <s v="250 "/>
        <s v="1,200 "/>
        <s v="80 "/>
        <s v="105 "/>
        <s v="25 "/>
        <s v="400 "/>
        <s v="550 "/>
        <s v="75 "/>
        <s v="90 "/>
      </sharedItems>
    </cacheField>
    <cacheField name="Line Total € " numFmtId="166">
      <sharedItems containsSemiMixedTypes="0" containsString="0" containsNumber="1" containsInteger="1" minValue="525" maxValue="4800"/>
    </cacheField>
    <cacheField name="Revenue" numFmtId="166">
      <sharedItems containsSemiMixedTypes="0" containsString="0" containsNumber="1" containsInteger="1" minValue="525" maxValue="4800"/>
    </cacheField>
  </cacheFields>
  <extLst>
    <ext xmlns:x14="http://schemas.microsoft.com/office/spreadsheetml/2009/9/main" uri="{725AE2AE-9491-48be-B2B4-4EB974FC3084}">
      <x14:pivotCacheDefinition pivotCacheId="1381960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4.712560185188" createdVersion="8" refreshedVersion="8" minRefreshableVersion="3" recordCount="20" xr:uid="{1B12193F-80C3-4A91-88D6-AB8445B3CCF9}">
  <cacheSource type="worksheet">
    <worksheetSource name="Table2"/>
  </cacheSource>
  <cacheFields count="12">
    <cacheField name="Order ID " numFmtId="0">
      <sharedItems/>
    </cacheField>
    <cacheField name="Product ID " numFmtId="0">
      <sharedItems/>
    </cacheField>
    <cacheField name="Customer ID " numFmtId="0">
      <sharedItems/>
    </cacheField>
    <cacheField name="Units " numFmtId="37">
      <sharedItems/>
    </cacheField>
    <cacheField name="Product Name " numFmtId="0">
      <sharedItems count="10">
        <s v="Laptop Pro X "/>
        <s v="Wireless Mouse "/>
        <s v="Headphones "/>
        <s v="Standing Desk "/>
        <s v="Monitor 27&quot; "/>
        <s v="Office Chair "/>
        <s v="Whiteboard "/>
        <s v="Printer Ink "/>
        <s v="Laptop Stand "/>
        <s v="Webcam HD "/>
      </sharedItems>
    </cacheField>
    <cacheField name="Category " numFmtId="0">
      <sharedItems count="4">
        <s v="Electronics "/>
        <s v="Furniture "/>
        <s v="Office Supplies "/>
        <s v="Accessories "/>
      </sharedItems>
    </cacheField>
    <cacheField name="Customer Name " numFmtId="0">
      <sharedItems/>
    </cacheField>
    <cacheField name="Region " numFmtId="0">
      <sharedItems count="4">
        <s v="North "/>
        <s v="South "/>
        <s v="East "/>
        <s v="West "/>
      </sharedItems>
    </cacheField>
    <cacheField name="Std. Price € " numFmtId="165">
      <sharedItems/>
    </cacheField>
    <cacheField name="Neg. Price € " numFmtId="2">
      <sharedItems containsMixedTypes="1" containsNumber="1" containsInteger="1" minValue="0" maxValue="0"/>
    </cacheField>
    <cacheField name="Applied Price € " numFmtId="166">
      <sharedItems/>
    </cacheField>
    <cacheField name="Line Total € " numFmtId="166">
      <sharedItems containsSemiMixedTypes="0" containsString="0" containsNumber="1" containsInteger="1" minValue="525" maxValue="4800"/>
    </cacheField>
  </cacheFields>
  <extLst>
    <ext xmlns:x14="http://schemas.microsoft.com/office/spreadsheetml/2009/9/main" uri="{725AE2AE-9491-48be-B2B4-4EB974FC3084}">
      <x14:pivotCacheDefinition pivotCacheId="17489767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1001 "/>
    <x v="0"/>
    <s v="C001 "/>
    <s v="3 "/>
    <x v="0"/>
    <s v="Electronics "/>
    <s v="TechCorp GmbH "/>
    <s v="North "/>
    <x v="0"/>
    <s v="1,050 "/>
    <x v="0"/>
    <n v="3150"/>
    <n v="3150"/>
  </r>
  <r>
    <s v="1002 "/>
    <x v="1"/>
    <s v="C002 "/>
    <s v="15 "/>
    <x v="1"/>
    <s v="Electronics "/>
    <s v="BrightSales Ltd "/>
    <s v="South "/>
    <x v="1"/>
    <n v="0"/>
    <x v="1"/>
    <n v="675"/>
    <n v="675"/>
  </r>
  <r>
    <s v="1003 "/>
    <x v="0"/>
    <s v="C003 "/>
    <s v="2 "/>
    <x v="0"/>
    <s v="Electronics "/>
    <s v="Nexus Retail "/>
    <s v="East "/>
    <x v="0"/>
    <s v="1,100 "/>
    <x v="2"/>
    <n v="2200"/>
    <n v="2200"/>
  </r>
  <r>
    <s v="1004 "/>
    <x v="2"/>
    <s v="C001 "/>
    <s v="8 "/>
    <x v="2"/>
    <s v="Electronics "/>
    <s v="TechCorp GmbH "/>
    <s v="North "/>
    <x v="2"/>
    <n v="0"/>
    <x v="3"/>
    <n v="960"/>
    <n v="960"/>
  </r>
  <r>
    <s v="1005 "/>
    <x v="3"/>
    <s v="C004 "/>
    <s v="4 "/>
    <x v="3"/>
    <s v="Furniture "/>
    <s v="Alpine Supplies "/>
    <s v="West "/>
    <x v="3"/>
    <n v="0"/>
    <x v="4"/>
    <n v="2400"/>
    <n v="2400"/>
  </r>
  <r>
    <s v="1006 "/>
    <x v="4"/>
    <s v="C002 "/>
    <s v="5 "/>
    <x v="4"/>
    <s v="Electronics "/>
    <s v="BrightSales Ltd "/>
    <s v="South "/>
    <x v="4"/>
    <s v="360 "/>
    <x v="5"/>
    <n v="1800"/>
    <n v="1800"/>
  </r>
  <r>
    <s v="1007 "/>
    <x v="1"/>
    <s v="C005 "/>
    <s v="20 "/>
    <x v="1"/>
    <s v="Electronics "/>
    <s v="Metro Office "/>
    <s v="North "/>
    <x v="1"/>
    <s v="38 "/>
    <x v="6"/>
    <n v="760"/>
    <n v="760"/>
  </r>
  <r>
    <s v="1008 "/>
    <x v="5"/>
    <s v="C003 "/>
    <s v="6 "/>
    <x v="5"/>
    <s v="Furniture "/>
    <s v="Nexus Retail "/>
    <s v="East "/>
    <x v="5"/>
    <n v="0"/>
    <x v="7"/>
    <n v="1500"/>
    <n v="1500"/>
  </r>
  <r>
    <s v="1009 "/>
    <x v="0"/>
    <s v="C006 "/>
    <s v="1 "/>
    <x v="0"/>
    <s v="Electronics "/>
    <s v="Delta Systems "/>
    <s v="South "/>
    <x v="0"/>
    <n v="0"/>
    <x v="8"/>
    <n v="1200"/>
    <n v="1200"/>
  </r>
  <r>
    <s v="1010 "/>
    <x v="6"/>
    <s v="C001 "/>
    <s v="10 "/>
    <x v="6"/>
    <s v="Office Supplies "/>
    <s v="TechCorp GmbH "/>
    <s v="North "/>
    <x v="6"/>
    <n v="0"/>
    <x v="9"/>
    <n v="800"/>
    <n v="800"/>
  </r>
  <r>
    <s v="1011 "/>
    <x v="2"/>
    <s v="C004 "/>
    <s v="12 "/>
    <x v="2"/>
    <s v="Electronics "/>
    <s v="Alpine Supplies "/>
    <s v="West "/>
    <x v="2"/>
    <s v="105 "/>
    <x v="10"/>
    <n v="1260"/>
    <n v="1260"/>
  </r>
  <r>
    <s v="1012 "/>
    <x v="7"/>
    <s v="C002 "/>
    <s v="40 "/>
    <x v="7"/>
    <s v="Office Supplies "/>
    <s v="BrightSales Ltd "/>
    <s v="South "/>
    <x v="7"/>
    <n v="0"/>
    <x v="11"/>
    <n v="1000"/>
    <n v="1000"/>
  </r>
  <r>
    <s v="1013 "/>
    <x v="4"/>
    <s v="C005 "/>
    <s v="3 "/>
    <x v="4"/>
    <s v="Electronics "/>
    <s v="Metro Office "/>
    <s v="North "/>
    <x v="4"/>
    <n v="0"/>
    <x v="12"/>
    <n v="1200"/>
    <n v="1200"/>
  </r>
  <r>
    <s v="1014 "/>
    <x v="3"/>
    <s v="C006 "/>
    <s v="2 "/>
    <x v="3"/>
    <s v="Furniture "/>
    <s v="Delta Systems "/>
    <s v="South "/>
    <x v="3"/>
    <s v="550 "/>
    <x v="13"/>
    <n v="1100"/>
    <n v="1100"/>
  </r>
  <r>
    <s v="1015 "/>
    <x v="8"/>
    <s v="C001 "/>
    <s v="7 "/>
    <x v="8"/>
    <s v="Accessories "/>
    <s v="TechCorp GmbH "/>
    <s v="North "/>
    <x v="8"/>
    <n v="0"/>
    <x v="14"/>
    <n v="525"/>
    <n v="525"/>
  </r>
  <r>
    <s v="1016 "/>
    <x v="9"/>
    <s v="C003 "/>
    <s v="9 "/>
    <x v="9"/>
    <s v="Electronics "/>
    <s v="Nexus Retail "/>
    <s v="East "/>
    <x v="9"/>
    <n v="0"/>
    <x v="15"/>
    <n v="810"/>
    <n v="810"/>
  </r>
  <r>
    <s v="1017 "/>
    <x v="5"/>
    <s v="C004 "/>
    <s v="5 "/>
    <x v="5"/>
    <s v="Furniture "/>
    <s v="Alpine Supplies "/>
    <s v="West "/>
    <x v="5"/>
    <n v="0"/>
    <x v="7"/>
    <n v="1250"/>
    <n v="1250"/>
  </r>
  <r>
    <s v="1018 "/>
    <x v="1"/>
    <s v="C006 "/>
    <s v="25 "/>
    <x v="1"/>
    <s v="Electronics "/>
    <s v="Delta Systems "/>
    <s v="South "/>
    <x v="1"/>
    <n v="0"/>
    <x v="1"/>
    <n v="1125"/>
    <n v="1125"/>
  </r>
  <r>
    <s v="1019 "/>
    <x v="2"/>
    <s v="C002 "/>
    <s v="6 "/>
    <x v="2"/>
    <s v="Electronics "/>
    <s v="BrightSales Ltd "/>
    <s v="South "/>
    <x v="2"/>
    <n v="0"/>
    <x v="3"/>
    <n v="720"/>
    <n v="720"/>
  </r>
  <r>
    <s v="1020 "/>
    <x v="0"/>
    <s v="C005 "/>
    <s v="4 "/>
    <x v="0"/>
    <s v="Electronics "/>
    <s v="Metro Office "/>
    <s v="North "/>
    <x v="0"/>
    <n v="0"/>
    <x v="8"/>
    <n v="4800"/>
    <n v="4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1001 "/>
    <s v="P001 "/>
    <s v="C001 "/>
    <s v="3 "/>
    <x v="0"/>
    <x v="0"/>
    <s v="TechCorp GmbH "/>
    <x v="0"/>
    <s v="1,200 "/>
    <s v="1,050 "/>
    <s v="1,050 "/>
    <n v="3150"/>
  </r>
  <r>
    <s v="1002 "/>
    <s v="P002 "/>
    <s v="C002 "/>
    <s v="15 "/>
    <x v="1"/>
    <x v="0"/>
    <s v="BrightSales Ltd "/>
    <x v="1"/>
    <s v="45 "/>
    <n v="0"/>
    <s v="45 "/>
    <n v="675"/>
  </r>
  <r>
    <s v="1003 "/>
    <s v="P001 "/>
    <s v="C003 "/>
    <s v="2 "/>
    <x v="0"/>
    <x v="0"/>
    <s v="Nexus Retail "/>
    <x v="2"/>
    <s v="1,200 "/>
    <s v="1,100 "/>
    <s v="1,100 "/>
    <n v="2200"/>
  </r>
  <r>
    <s v="1004 "/>
    <s v="P005 "/>
    <s v="C001 "/>
    <s v="8 "/>
    <x v="2"/>
    <x v="0"/>
    <s v="TechCorp GmbH "/>
    <x v="0"/>
    <s v="120 "/>
    <n v="0"/>
    <s v="120 "/>
    <n v="960"/>
  </r>
  <r>
    <s v="1005 "/>
    <s v="P003 "/>
    <s v="C004 "/>
    <s v="4 "/>
    <x v="3"/>
    <x v="1"/>
    <s v="Alpine Supplies "/>
    <x v="3"/>
    <s v="600 "/>
    <n v="0"/>
    <s v="600 "/>
    <n v="2400"/>
  </r>
  <r>
    <s v="1006 "/>
    <s v="P007 "/>
    <s v="C002 "/>
    <s v="5 "/>
    <x v="4"/>
    <x v="0"/>
    <s v="BrightSales Ltd "/>
    <x v="1"/>
    <s v="400 "/>
    <s v="360 "/>
    <s v="360 "/>
    <n v="1800"/>
  </r>
  <r>
    <s v="1007 "/>
    <s v="P002 "/>
    <s v="C005 "/>
    <s v="20 "/>
    <x v="1"/>
    <x v="0"/>
    <s v="Metro Office "/>
    <x v="0"/>
    <s v="45 "/>
    <s v="38 "/>
    <s v="38 "/>
    <n v="760"/>
  </r>
  <r>
    <s v="1008 "/>
    <s v="P004 "/>
    <s v="C003 "/>
    <s v="6 "/>
    <x v="5"/>
    <x v="1"/>
    <s v="Nexus Retail "/>
    <x v="2"/>
    <s v="250 "/>
    <n v="0"/>
    <s v="250 "/>
    <n v="1500"/>
  </r>
  <r>
    <s v="1009 "/>
    <s v="P001 "/>
    <s v="C006 "/>
    <s v="1 "/>
    <x v="0"/>
    <x v="0"/>
    <s v="Delta Systems "/>
    <x v="1"/>
    <s v="1,200 "/>
    <n v="0"/>
    <s v="1,200 "/>
    <n v="1200"/>
  </r>
  <r>
    <s v="1010 "/>
    <s v="P008 "/>
    <s v="C001 "/>
    <s v="10 "/>
    <x v="6"/>
    <x v="2"/>
    <s v="TechCorp GmbH "/>
    <x v="0"/>
    <s v="80 "/>
    <n v="0"/>
    <s v="80 "/>
    <n v="800"/>
  </r>
  <r>
    <s v="1011 "/>
    <s v="P005 "/>
    <s v="C004 "/>
    <s v="12 "/>
    <x v="2"/>
    <x v="0"/>
    <s v="Alpine Supplies "/>
    <x v="3"/>
    <s v="120 "/>
    <s v="105 "/>
    <s v="105 "/>
    <n v="1260"/>
  </r>
  <r>
    <s v="1012 "/>
    <s v="P009 "/>
    <s v="C002 "/>
    <s v="40 "/>
    <x v="7"/>
    <x v="2"/>
    <s v="BrightSales Ltd "/>
    <x v="1"/>
    <s v="25 "/>
    <n v="0"/>
    <s v="25 "/>
    <n v="1000"/>
  </r>
  <r>
    <s v="1013 "/>
    <s v="P007 "/>
    <s v="C005 "/>
    <s v="3 "/>
    <x v="4"/>
    <x v="0"/>
    <s v="Metro Office "/>
    <x v="0"/>
    <s v="400 "/>
    <n v="0"/>
    <s v="400 "/>
    <n v="1200"/>
  </r>
  <r>
    <s v="1014 "/>
    <s v="P003 "/>
    <s v="C006 "/>
    <s v="2 "/>
    <x v="3"/>
    <x v="1"/>
    <s v="Delta Systems "/>
    <x v="1"/>
    <s v="600 "/>
    <s v="550 "/>
    <s v="550 "/>
    <n v="1100"/>
  </r>
  <r>
    <s v="1015 "/>
    <s v="P010 "/>
    <s v="C001 "/>
    <s v="7 "/>
    <x v="8"/>
    <x v="3"/>
    <s v="TechCorp GmbH "/>
    <x v="0"/>
    <s v="75 "/>
    <n v="0"/>
    <s v="75 "/>
    <n v="525"/>
  </r>
  <r>
    <s v="1016 "/>
    <s v="P006 "/>
    <s v="C003 "/>
    <s v="9 "/>
    <x v="9"/>
    <x v="0"/>
    <s v="Nexus Retail "/>
    <x v="2"/>
    <s v="90 "/>
    <n v="0"/>
    <s v="90 "/>
    <n v="810"/>
  </r>
  <r>
    <s v="1017 "/>
    <s v="P004 "/>
    <s v="C004 "/>
    <s v="5 "/>
    <x v="5"/>
    <x v="1"/>
    <s v="Alpine Supplies "/>
    <x v="3"/>
    <s v="250 "/>
    <n v="0"/>
    <s v="250 "/>
    <n v="1250"/>
  </r>
  <r>
    <s v="1018 "/>
    <s v="P002 "/>
    <s v="C006 "/>
    <s v="25 "/>
    <x v="1"/>
    <x v="0"/>
    <s v="Delta Systems "/>
    <x v="1"/>
    <s v="45 "/>
    <n v="0"/>
    <s v="45 "/>
    <n v="1125"/>
  </r>
  <r>
    <s v="1019 "/>
    <s v="P005 "/>
    <s v="C002 "/>
    <s v="6 "/>
    <x v="2"/>
    <x v="0"/>
    <s v="BrightSales Ltd "/>
    <x v="1"/>
    <s v="120 "/>
    <n v="0"/>
    <s v="120 "/>
    <n v="720"/>
  </r>
  <r>
    <s v="1020 "/>
    <s v="P001 "/>
    <s v="C005 "/>
    <s v="4 "/>
    <x v="0"/>
    <x v="0"/>
    <s v="Metro Office "/>
    <x v="0"/>
    <s v="1,200 "/>
    <n v="0"/>
    <s v="1,200 "/>
    <n v="48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6327E-B6E0-4F03-AB2B-167161A1F6E6}" name="PivotTable1" cacheId="1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9" firstHeaderRow="1" firstDataRow="2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5">
        <item x="3"/>
        <item x="0"/>
        <item x="1"/>
        <item x="2"/>
        <item t="default"/>
      </items>
    </pivotField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6" outline="0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Sum of Line Total € " fld="11" baseField="0" baseItem="0" numFmtId="166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A7467A-A4FB-42FD-98DE-DD30635525B7}" name="PivotTable2" cacheId="1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4" firstHeaderRow="0" firstDataRow="1" firstDataCol="1"/>
  <pivotFields count="12"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 sortType="descending">
      <items count="11">
        <item x="2"/>
        <item x="0"/>
        <item x="8"/>
        <item x="4"/>
        <item x="5"/>
        <item x="7"/>
        <item x="3"/>
        <item x="9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numFmtId="166" outline="0" showAll="0"/>
  </pivotFields>
  <rowFields count="1">
    <field x="4"/>
  </rowFields>
  <rowItems count="11">
    <i>
      <x v="1"/>
    </i>
    <i>
      <x v="6"/>
    </i>
    <i>
      <x v="3"/>
    </i>
    <i>
      <x/>
    </i>
    <i>
      <x v="4"/>
    </i>
    <i>
      <x v="9"/>
    </i>
    <i>
      <x v="5"/>
    </i>
    <i>
      <x v="7"/>
    </i>
    <i>
      <x v="8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ine Total € " fld="11" baseField="0" baseItem="0" numFmtId="166"/>
    <dataField name="Count of Units " fld="3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232D3-A0EA-4385-9D9C-1FF11F633F9F}" name="PivotTable1" cacheId="184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compact="0" compactData="0" multipleFieldFilters="0" chartFormat="1">
  <location ref="A3:C13" firstHeaderRow="1" firstDataRow="1" firstDataCol="2"/>
  <pivotFields count="13">
    <pivotField compact="0" outline="0" showAll="0" defaultSubtotal="0"/>
    <pivotField compact="0" outline="0" showAll="0" defaultSubtotal="0">
      <items count="10">
        <item x="0"/>
        <item x="1"/>
        <item x="3"/>
        <item x="5"/>
        <item x="2"/>
        <item x="9"/>
        <item x="4"/>
        <item x="6"/>
        <item x="7"/>
        <item x="8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10">
        <item x="2"/>
        <item x="0"/>
        <item x="8"/>
        <item x="4"/>
        <item x="5"/>
        <item x="7"/>
        <item x="3"/>
        <item x="9"/>
        <item x="6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10">
        <item x="0"/>
        <item x="2"/>
        <item x="7"/>
        <item x="5"/>
        <item x="4"/>
        <item x="1"/>
        <item x="3"/>
        <item x="8"/>
        <item x="6"/>
        <item x="9"/>
      </items>
    </pivotField>
    <pivotField compact="0" outline="0" showAll="0" defaultSubtotal="0"/>
    <pivotField compact="0" outline="0" showAll="0" defaultSubtotal="0">
      <items count="16">
        <item x="0"/>
        <item x="2"/>
        <item x="8"/>
        <item x="10"/>
        <item x="3"/>
        <item x="11"/>
        <item x="7"/>
        <item x="5"/>
        <item x="6"/>
        <item x="12"/>
        <item x="1"/>
        <item x="13"/>
        <item x="4"/>
        <item x="14"/>
        <item x="9"/>
        <item x="15"/>
      </items>
    </pivotField>
    <pivotField compact="0" numFmtId="166" outline="0" showAll="0" defaultSubtotal="0"/>
    <pivotField dataField="1" compact="0" numFmtId="166" outline="0" showAll="0" defaultSubtotal="0"/>
  </pivotFields>
  <rowFields count="2">
    <field x="4"/>
    <field x="8"/>
  </rowFields>
  <rowItems count="10">
    <i>
      <x/>
      <x v="1"/>
    </i>
    <i>
      <x v="1"/>
      <x/>
    </i>
    <i>
      <x v="2"/>
      <x v="7"/>
    </i>
    <i>
      <x v="3"/>
      <x v="4"/>
    </i>
    <i>
      <x v="4"/>
      <x v="3"/>
    </i>
    <i>
      <x v="5"/>
      <x v="2"/>
    </i>
    <i>
      <x v="6"/>
      <x v="6"/>
    </i>
    <i>
      <x v="7"/>
      <x v="9"/>
    </i>
    <i>
      <x v="8"/>
      <x v="8"/>
    </i>
    <i>
      <x v="9"/>
      <x v="5"/>
    </i>
  </rowItems>
  <colItems count="1">
    <i/>
  </colItems>
  <dataFields count="1">
    <dataField name="Sum of Revenue" fld="12" showDataAs="percentOfCol" baseField="0" baseItem="0" numFmtId="10"/>
  </dataFields>
  <conditionalFormats count="1">
    <conditionalFormat priority="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4" count="1" selected="0">
              <x v="1"/>
            </reference>
            <reference field="8" count="1" selected="0">
              <x v="0"/>
            </reference>
          </references>
        </pivotArea>
      </pivotAreas>
    </conditionalFormat>
  </conditional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3FC86-21BF-4C66-BC7F-0960F4FD69FF}" name="PivotTable4" cacheId="1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4" firstHeaderRow="1" firstDataRow="1" firstDataCol="1"/>
  <pivotFields count="13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1">
        <item x="2"/>
        <item x="0"/>
        <item x="8"/>
        <item x="4"/>
        <item x="5"/>
        <item x="7"/>
        <item x="3"/>
        <item x="9"/>
        <item x="6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7">
        <item x="0"/>
        <item x="2"/>
        <item x="8"/>
        <item x="10"/>
        <item x="3"/>
        <item x="11"/>
        <item x="7"/>
        <item x="5"/>
        <item x="6"/>
        <item x="12"/>
        <item x="1"/>
        <item x="13"/>
        <item x="4"/>
        <item x="14"/>
        <item x="9"/>
        <item x="15"/>
        <item t="default"/>
      </items>
    </pivotField>
    <pivotField compact="0" numFmtId="166" outline="0" showAll="0"/>
    <pivotField dataField="1" compact="0" numFmtId="166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Revenue" fld="12" baseField="0" baseItem="0" numFmtId="166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ID_" xr10:uid="{9A0933E6-309F-481E-8E5A-A817DB4352EB}" sourceName="Product ID ">
  <pivotTables>
    <pivotTable tabId="12" name="PivotTable1"/>
  </pivotTables>
  <data>
    <tabular pivotCacheId="13819602">
      <items count="10">
        <i x="0" s="1"/>
        <i x="1" s="1"/>
        <i x="3" s="1"/>
        <i x="5" s="1"/>
        <i x="2" s="1"/>
        <i x="9" s="1"/>
        <i x="4" s="1"/>
        <i x="6" s="1"/>
        <i x="7" s="1"/>
        <i x="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 ID " xr10:uid="{E55F5595-EB42-4AA3-9A62-C80D514CE645}" cache="Slicer_Product_ID_" caption="Product ID 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30D24F-BE81-45DF-8CE3-E58B267ED7D2}" name="Table1" displayName="Table1" ref="A5:E25" totalsRowShown="0" headerRowDxfId="38" dataDxfId="37" headerRowBorderDxfId="35" tableBorderDxfId="36" totalsRowBorderDxfId="34">
  <autoFilter ref="A5:E25" xr:uid="{FE30D24F-BE81-45DF-8CE3-E58B267ED7D2}"/>
  <tableColumns count="5">
    <tableColumn id="1" xr3:uid="{530FE484-1E2F-43D5-A57B-A418AF5CB0A7}" name="Order ID " dataDxfId="33"/>
    <tableColumn id="2" xr3:uid="{28348B7A-B19F-4310-9BEE-5291E912BF21}" name="Order Date " dataDxfId="32"/>
    <tableColumn id="3" xr3:uid="{FE8A53C8-4096-499F-A677-A4910439109E}" name="Product ID " dataDxfId="31"/>
    <tableColumn id="4" xr3:uid="{731F057D-BD4C-4650-80A7-7B9BB6AD2F69}" name="Customer ID " dataDxfId="30"/>
    <tableColumn id="5" xr3:uid="{7E3E48AC-3F72-43BD-A459-61448999E305}" name="Units Sold " dataDxfId="2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97D810-6D84-477E-9FFC-7F0359A28E31}" name="Table2" displayName="Table2" ref="A1:L21" totalsRowShown="0" headerRowBorderDxfId="27" tableBorderDxfId="28">
  <autoFilter ref="A1:L21" xr:uid="{B297D810-6D84-477E-9FFC-7F0359A28E31}"/>
  <tableColumns count="12">
    <tableColumn id="1" xr3:uid="{2CFAF86B-18C3-4520-8A95-BE0331B2E65E}" name="Order ID " dataDxfId="26">
      <calculatedColumnFormula>VLOOKUP(Sheet1!A6,Sheet1!A6:A24,1,FALSE)</calculatedColumnFormula>
    </tableColumn>
    <tableColumn id="2" xr3:uid="{544CDF86-CFFA-46EE-A3FD-72E2437DFC41}" name="Product ID " dataDxfId="25">
      <calculatedColumnFormula>VLOOKUP(Sheet1!A6,Sheet1!A6:C24,3,FALSE)</calculatedColumnFormula>
    </tableColumn>
    <tableColumn id="3" xr3:uid="{47BE2E2D-769E-4CE7-BA42-057B064C6BAD}" name="Customer ID " dataDxfId="24">
      <calculatedColumnFormula>VLOOKUP(Sheet1!A6,Sheet1!A6:D24,4,0)</calculatedColumnFormula>
    </tableColumn>
    <tableColumn id="4" xr3:uid="{958F05B3-C7C5-413D-83E7-FCBF3DC8D3DE}" name="Units " dataDxfId="23">
      <calculatedColumnFormula>VLOOKUP(Sheet1!B6,Sheet1!B6:E24,4,0)</calculatedColumnFormula>
    </tableColumn>
    <tableColumn id="5" xr3:uid="{F40A1B9B-EA2F-4266-BAB1-E54E18C4885F}" name="Product Name " dataDxfId="22">
      <calculatedColumnFormula>VLOOKUP(B2,Sheet2!$A$2:$B$11,2,FALSE)</calculatedColumnFormula>
    </tableColumn>
    <tableColumn id="6" xr3:uid="{F992BE5D-D798-4940-AD79-8AF239322291}" name="Category " dataDxfId="21">
      <calculatedColumnFormula>VLOOKUP(B2,Sheet2!$A$2:$C$11,3,FALSE)</calculatedColumnFormula>
    </tableColumn>
    <tableColumn id="7" xr3:uid="{71451353-50C7-490E-A838-DC67A5011491}" name="Customer Name " dataDxfId="20">
      <calculatedColumnFormula>VLOOKUP(C2,Sheet3!$A$2:$B$7,2,FALSE)</calculatedColumnFormula>
    </tableColumn>
    <tableColumn id="8" xr3:uid="{19CBD8B6-2A26-4DE1-9233-A8DF47782EBA}" name="Region " dataDxfId="19">
      <calculatedColumnFormula>VLOOKUP(C2,Sheet3!$A$2:$C$7,3,FALSE)</calculatedColumnFormula>
    </tableColumn>
    <tableColumn id="9" xr3:uid="{6ABE676B-E134-4916-9E02-42247655CD30}" name="Std. Price € " dataDxfId="18">
      <calculatedColumnFormula>VLOOKUP(B2,Sheet2!$A$2:$D$11,4,FALSE)</calculatedColumnFormula>
    </tableColumn>
    <tableColumn id="10" xr3:uid="{2E649678-0CAA-4CB9-BB15-A83C57B08976}" name="Neg. Price € " dataDxfId="17">
      <calculatedColumnFormula array="1">_xlfn._xlws.FILTER(Sheet4!D:D,(Sheet4!B:B=B2)*(Sheet4!C:C=C2),0)</calculatedColumnFormula>
    </tableColumn>
    <tableColumn id="11" xr3:uid="{F4825B9F-643E-4C69-BBAE-984A51CD2C9F}" name="Applied Price € " dataDxfId="16">
      <calculatedColumnFormula>IF(J2=0,I2,J2)</calculatedColumnFormula>
    </tableColumn>
    <tableColumn id="12" xr3:uid="{387F922E-7DE7-41B2-BBBC-FEF369A94897}" name="Line Total € " dataDxfId="15">
      <calculatedColumnFormula>IFERROR(_xlfn.NUMBERVALUE(SUBSTITUTE(K2, CHAR(160), "")) * _xlfn.NUMBERVALUE(SUBSTITUTE(D2, CHAR(160), "")), 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4DA82F-6479-4381-81D2-639931CD70F0}" name="Table24" displayName="Table24" ref="A1:M21" totalsRowShown="0" headerRowBorderDxfId="13" tableBorderDxfId="14">
  <autoFilter ref="A1:M21" xr:uid="{074DA82F-6479-4381-81D2-639931CD70F0}"/>
  <tableColumns count="13">
    <tableColumn id="1" xr3:uid="{262003AA-F1AF-4824-8E6D-E869815168B8}" name="Order ID " dataDxfId="12">
      <calculatedColumnFormula>VLOOKUP(Sheet1!A6,Sheet1!A6:A24,1,FALSE)</calculatedColumnFormula>
    </tableColumn>
    <tableColumn id="2" xr3:uid="{7B1EA018-8268-4D7C-88D4-62462363B631}" name="Product ID " dataDxfId="11">
      <calculatedColumnFormula>VLOOKUP(Sheet1!A6,Sheet1!A6:C24,3,FALSE)</calculatedColumnFormula>
    </tableColumn>
    <tableColumn id="3" xr3:uid="{8CD25E14-A3CE-4545-8242-EE54BD09397C}" name="Customer ID " dataDxfId="10">
      <calculatedColumnFormula>VLOOKUP(Sheet1!A6,Sheet1!A6:D24,4,0)</calculatedColumnFormula>
    </tableColumn>
    <tableColumn id="4" xr3:uid="{05C8BD4C-3CA8-4E80-92BB-642F781F1BCA}" name="Units " dataDxfId="9">
      <calculatedColumnFormula>VLOOKUP(Sheet1!B6,Sheet1!B6:E24,4,0)</calculatedColumnFormula>
    </tableColumn>
    <tableColumn id="5" xr3:uid="{85344161-229B-408E-BBBD-31B2A4DB3B84}" name="Product Name " dataDxfId="8">
      <calculatedColumnFormula>VLOOKUP(B2,Sheet2!$A$2:$B$11,2,FALSE)</calculatedColumnFormula>
    </tableColumn>
    <tableColumn id="6" xr3:uid="{7940D8F6-4EF2-44DA-887B-147B38C57245}" name="Category " dataDxfId="7">
      <calculatedColumnFormula>VLOOKUP(B2,Sheet2!$A$2:$C$11,3,FALSE)</calculatedColumnFormula>
    </tableColumn>
    <tableColumn id="7" xr3:uid="{27E5E910-244F-4D8C-826C-B120CF8B4021}" name="Customer Name " dataDxfId="6">
      <calculatedColumnFormula>VLOOKUP(C2,Sheet3!$A$2:$B$7,2,FALSE)</calculatedColumnFormula>
    </tableColumn>
    <tableColumn id="8" xr3:uid="{9E6CADBA-A41C-4102-AE8A-84ED4687A472}" name="Region " dataDxfId="5">
      <calculatedColumnFormula>VLOOKUP(C2,Sheet3!$A$2:$C$7,3,FALSE)</calculatedColumnFormula>
    </tableColumn>
    <tableColumn id="9" xr3:uid="{F468909C-0715-49F9-8FD6-3F50819027E3}" name="Std. Price € " dataDxfId="4">
      <calculatedColumnFormula>VLOOKUP(B2,Sheet2!$A$2:$D$11,4,FALSE)</calculatedColumnFormula>
    </tableColumn>
    <tableColumn id="10" xr3:uid="{DC0824AC-5F91-4736-8F4F-83377BC6FE5C}" name="Neg. Price € " dataDxfId="3">
      <calculatedColumnFormula array="1">_xlfn._xlws.FILTER(Sheet4!D:D,(Sheet4!B:B=B2)*(Sheet4!C:C=C2),0)</calculatedColumnFormula>
    </tableColumn>
    <tableColumn id="11" xr3:uid="{F51A4905-FF5A-4E52-94B0-32C35B2E47E6}" name="Applied Price € " dataDxfId="2">
      <calculatedColumnFormula>IF(J2=0,I2,J2)</calculatedColumnFormula>
    </tableColumn>
    <tableColumn id="12" xr3:uid="{C6FB2282-6E9E-4643-AD36-72E3681420CF}" name="Line Total € " dataDxfId="1">
      <calculatedColumnFormula>IFERROR(_xlfn.NUMBERVALUE(SUBSTITUTE(K2, CHAR(160), "")) * _xlfn.NUMBERVALUE(SUBSTITUTE(D2, CHAR(160), "")), 0)</calculatedColumnFormula>
    </tableColumn>
    <tableColumn id="13" xr3:uid="{3C0F058D-2B33-4A58-BB1B-0E676FD95E25}" name="Revenue" dataDxfId="0">
      <calculatedColumnFormula>IFERROR(_xlfn.NUMBERVALUE(SUBSTITUTE(D2, CHAR(160), "")) * _xlfn.NUMBERVALUE(SUBSTITUTE(K2, CHAR(160), "")),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5"/>
  <sheetViews>
    <sheetView topLeftCell="A4" workbookViewId="0">
      <selection activeCell="J10" sqref="J10"/>
    </sheetView>
  </sheetViews>
  <sheetFormatPr defaultRowHeight="15"/>
  <cols>
    <col min="1" max="1" width="10" customWidth="1"/>
    <col min="2" max="2" width="11.42578125" customWidth="1"/>
    <col min="3" max="3" width="11" customWidth="1"/>
    <col min="4" max="4" width="12.7109375" customWidth="1"/>
    <col min="5" max="5" width="11.140625" customWidth="1"/>
  </cols>
  <sheetData>
    <row r="2" spans="1:5">
      <c r="B2" s="2"/>
    </row>
    <row r="3" spans="1:5">
      <c r="A3" t="str">
        <f>VLOOKUP(Sheet1!A7,Sheet1!A7:A25,1,FALSE)</f>
        <v>1002 </v>
      </c>
      <c r="B3" s="2"/>
    </row>
    <row r="5" spans="1:5" ht="24">
      <c r="A5" s="36" t="s">
        <v>0</v>
      </c>
      <c r="B5" s="37" t="s">
        <v>1</v>
      </c>
      <c r="C5" s="38" t="s">
        <v>2</v>
      </c>
      <c r="D5" s="38" t="s">
        <v>3</v>
      </c>
      <c r="E5" s="38" t="s">
        <v>4</v>
      </c>
    </row>
    <row r="6" spans="1:5">
      <c r="A6" s="32" t="s">
        <v>5</v>
      </c>
      <c r="B6" s="15" t="s">
        <v>6</v>
      </c>
      <c r="C6" s="7" t="s">
        <v>7</v>
      </c>
      <c r="D6" s="7" t="s">
        <v>8</v>
      </c>
      <c r="E6" s="34" t="s">
        <v>9</v>
      </c>
    </row>
    <row r="7" spans="1:5">
      <c r="A7" s="33" t="s">
        <v>10</v>
      </c>
      <c r="B7" s="16" t="s">
        <v>11</v>
      </c>
      <c r="C7" s="10" t="s">
        <v>12</v>
      </c>
      <c r="D7" s="10" t="s">
        <v>13</v>
      </c>
      <c r="E7" s="35" t="s">
        <v>14</v>
      </c>
    </row>
    <row r="8" spans="1:5">
      <c r="A8" s="32" t="s">
        <v>15</v>
      </c>
      <c r="B8" s="7" t="s">
        <v>16</v>
      </c>
      <c r="C8" s="7" t="s">
        <v>7</v>
      </c>
      <c r="D8" s="7" t="s">
        <v>17</v>
      </c>
      <c r="E8" s="34" t="s">
        <v>18</v>
      </c>
    </row>
    <row r="9" spans="1:5">
      <c r="A9" s="33" t="s">
        <v>19</v>
      </c>
      <c r="B9" s="10" t="s">
        <v>20</v>
      </c>
      <c r="C9" s="10" t="s">
        <v>21</v>
      </c>
      <c r="D9" s="10" t="s">
        <v>8</v>
      </c>
      <c r="E9" s="35" t="s">
        <v>22</v>
      </c>
    </row>
    <row r="10" spans="1:5">
      <c r="A10" s="32" t="s">
        <v>23</v>
      </c>
      <c r="B10" s="7" t="s">
        <v>24</v>
      </c>
      <c r="C10" s="7" t="s">
        <v>25</v>
      </c>
      <c r="D10" s="7" t="s">
        <v>26</v>
      </c>
      <c r="E10" s="34" t="s">
        <v>27</v>
      </c>
    </row>
    <row r="11" spans="1:5">
      <c r="A11" s="33" t="s">
        <v>28</v>
      </c>
      <c r="B11" s="10" t="s">
        <v>29</v>
      </c>
      <c r="C11" s="10" t="s">
        <v>30</v>
      </c>
      <c r="D11" s="10" t="s">
        <v>13</v>
      </c>
      <c r="E11" s="35" t="s">
        <v>31</v>
      </c>
    </row>
    <row r="12" spans="1:5">
      <c r="A12" s="32" t="s">
        <v>32</v>
      </c>
      <c r="B12" s="7" t="s">
        <v>33</v>
      </c>
      <c r="C12" s="7" t="s">
        <v>12</v>
      </c>
      <c r="D12" s="7" t="s">
        <v>34</v>
      </c>
      <c r="E12" s="34" t="s">
        <v>35</v>
      </c>
    </row>
    <row r="13" spans="1:5">
      <c r="A13" s="33" t="s">
        <v>36</v>
      </c>
      <c r="B13" s="10" t="s">
        <v>37</v>
      </c>
      <c r="C13" s="10" t="s">
        <v>38</v>
      </c>
      <c r="D13" s="10" t="s">
        <v>17</v>
      </c>
      <c r="E13" s="35" t="s">
        <v>39</v>
      </c>
    </row>
    <row r="14" spans="1:5">
      <c r="A14" s="32" t="s">
        <v>40</v>
      </c>
      <c r="B14" s="7" t="s">
        <v>41</v>
      </c>
      <c r="C14" s="7" t="s">
        <v>7</v>
      </c>
      <c r="D14" s="7" t="s">
        <v>42</v>
      </c>
      <c r="E14" s="34" t="s">
        <v>43</v>
      </c>
    </row>
    <row r="15" spans="1:5">
      <c r="A15" s="33" t="s">
        <v>44</v>
      </c>
      <c r="B15" s="10" t="s">
        <v>45</v>
      </c>
      <c r="C15" s="10" t="s">
        <v>46</v>
      </c>
      <c r="D15" s="10" t="s">
        <v>8</v>
      </c>
      <c r="E15" s="35" t="s">
        <v>47</v>
      </c>
    </row>
    <row r="16" spans="1:5">
      <c r="A16" s="32" t="s">
        <v>48</v>
      </c>
      <c r="B16" s="7" t="s">
        <v>49</v>
      </c>
      <c r="C16" s="7" t="s">
        <v>21</v>
      </c>
      <c r="D16" s="7" t="s">
        <v>26</v>
      </c>
      <c r="E16" s="34" t="s">
        <v>50</v>
      </c>
    </row>
    <row r="17" spans="1:5">
      <c r="A17" s="33" t="s">
        <v>51</v>
      </c>
      <c r="B17" s="10" t="s">
        <v>52</v>
      </c>
      <c r="C17" s="10" t="s">
        <v>53</v>
      </c>
      <c r="D17" s="10" t="s">
        <v>13</v>
      </c>
      <c r="E17" s="35" t="s">
        <v>54</v>
      </c>
    </row>
    <row r="18" spans="1:5">
      <c r="A18" s="32" t="s">
        <v>55</v>
      </c>
      <c r="B18" s="7" t="s">
        <v>56</v>
      </c>
      <c r="C18" s="7" t="s">
        <v>30</v>
      </c>
      <c r="D18" s="7" t="s">
        <v>34</v>
      </c>
      <c r="E18" s="34" t="s">
        <v>9</v>
      </c>
    </row>
    <row r="19" spans="1:5">
      <c r="A19" s="33" t="s">
        <v>57</v>
      </c>
      <c r="B19" s="10" t="s">
        <v>58</v>
      </c>
      <c r="C19" s="10" t="s">
        <v>25</v>
      </c>
      <c r="D19" s="10" t="s">
        <v>42</v>
      </c>
      <c r="E19" s="35" t="s">
        <v>18</v>
      </c>
    </row>
    <row r="20" spans="1:5">
      <c r="A20" s="32" t="s">
        <v>59</v>
      </c>
      <c r="B20" s="7" t="s">
        <v>60</v>
      </c>
      <c r="C20" s="7" t="s">
        <v>61</v>
      </c>
      <c r="D20" s="7" t="s">
        <v>8</v>
      </c>
      <c r="E20" s="34" t="s">
        <v>62</v>
      </c>
    </row>
    <row r="21" spans="1:5">
      <c r="A21" s="33" t="s">
        <v>63</v>
      </c>
      <c r="B21" s="10" t="s">
        <v>64</v>
      </c>
      <c r="C21" s="10" t="s">
        <v>65</v>
      </c>
      <c r="D21" s="10" t="s">
        <v>17</v>
      </c>
      <c r="E21" s="35" t="s">
        <v>66</v>
      </c>
    </row>
    <row r="22" spans="1:5">
      <c r="A22" s="32" t="s">
        <v>67</v>
      </c>
      <c r="B22" s="7" t="s">
        <v>68</v>
      </c>
      <c r="C22" s="7" t="s">
        <v>38</v>
      </c>
      <c r="D22" s="7" t="s">
        <v>26</v>
      </c>
      <c r="E22" s="34" t="s">
        <v>31</v>
      </c>
    </row>
    <row r="23" spans="1:5">
      <c r="A23" s="33" t="s">
        <v>69</v>
      </c>
      <c r="B23" s="10" t="s">
        <v>70</v>
      </c>
      <c r="C23" s="10" t="s">
        <v>12</v>
      </c>
      <c r="D23" s="10" t="s">
        <v>42</v>
      </c>
      <c r="E23" s="35" t="s">
        <v>71</v>
      </c>
    </row>
    <row r="24" spans="1:5">
      <c r="A24" s="32" t="s">
        <v>72</v>
      </c>
      <c r="B24" s="7" t="s">
        <v>73</v>
      </c>
      <c r="C24" s="7" t="s">
        <v>21</v>
      </c>
      <c r="D24" s="7" t="s">
        <v>13</v>
      </c>
      <c r="E24" s="34" t="s">
        <v>39</v>
      </c>
    </row>
    <row r="25" spans="1:5">
      <c r="A25" s="39" t="s">
        <v>74</v>
      </c>
      <c r="B25" s="40" t="s">
        <v>75</v>
      </c>
      <c r="C25" s="40" t="s">
        <v>7</v>
      </c>
      <c r="D25" s="40" t="s">
        <v>34</v>
      </c>
      <c r="E25" s="4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9A8D-C33C-4996-85DB-38C0424EBA80}">
  <dimension ref="A1:F11"/>
  <sheetViews>
    <sheetView workbookViewId="0">
      <selection activeCell="B1" sqref="B1"/>
    </sheetView>
  </sheetViews>
  <sheetFormatPr defaultRowHeight="15"/>
  <cols>
    <col min="5" max="6" width="36.5703125" bestFit="1" customWidth="1"/>
  </cols>
  <sheetData>
    <row r="1" spans="1:6" ht="24">
      <c r="A1" s="17" t="s">
        <v>2</v>
      </c>
      <c r="B1" s="44" t="s">
        <v>76</v>
      </c>
      <c r="C1" s="18" t="s">
        <v>77</v>
      </c>
      <c r="D1" s="19" t="s">
        <v>78</v>
      </c>
    </row>
    <row r="2" spans="1:6" ht="24">
      <c r="A2" s="20" t="s">
        <v>7</v>
      </c>
      <c r="B2" s="21" t="s">
        <v>79</v>
      </c>
      <c r="C2" s="21" t="s">
        <v>80</v>
      </c>
      <c r="D2" s="22" t="s">
        <v>81</v>
      </c>
      <c r="E2" s="1"/>
      <c r="F2" s="1"/>
    </row>
    <row r="3" spans="1:6" ht="24">
      <c r="A3" s="9" t="s">
        <v>12</v>
      </c>
      <c r="B3" s="10" t="s">
        <v>82</v>
      </c>
      <c r="C3" s="10" t="s">
        <v>80</v>
      </c>
      <c r="D3" s="11" t="s">
        <v>83</v>
      </c>
    </row>
    <row r="4" spans="1:6" ht="24">
      <c r="A4" s="6" t="s">
        <v>25</v>
      </c>
      <c r="B4" s="7" t="s">
        <v>84</v>
      </c>
      <c r="C4" s="7" t="s">
        <v>85</v>
      </c>
      <c r="D4" s="8" t="s">
        <v>86</v>
      </c>
    </row>
    <row r="5" spans="1:6" ht="24">
      <c r="A5" s="9" t="s">
        <v>38</v>
      </c>
      <c r="B5" s="10" t="s">
        <v>87</v>
      </c>
      <c r="C5" s="10" t="s">
        <v>85</v>
      </c>
      <c r="D5" s="11" t="s">
        <v>88</v>
      </c>
    </row>
    <row r="6" spans="1:6" ht="24">
      <c r="A6" s="6" t="s">
        <v>21</v>
      </c>
      <c r="B6" s="7" t="s">
        <v>89</v>
      </c>
      <c r="C6" s="7" t="s">
        <v>80</v>
      </c>
      <c r="D6" s="8" t="s">
        <v>90</v>
      </c>
    </row>
    <row r="7" spans="1:6" ht="24">
      <c r="A7" s="9" t="s">
        <v>65</v>
      </c>
      <c r="B7" s="10" t="s">
        <v>91</v>
      </c>
      <c r="C7" s="10" t="s">
        <v>80</v>
      </c>
      <c r="D7" s="11" t="s">
        <v>92</v>
      </c>
    </row>
    <row r="8" spans="1:6" ht="24">
      <c r="A8" s="6" t="s">
        <v>30</v>
      </c>
      <c r="B8" s="7" t="s">
        <v>93</v>
      </c>
      <c r="C8" s="7" t="s">
        <v>80</v>
      </c>
      <c r="D8" s="8" t="s">
        <v>94</v>
      </c>
    </row>
    <row r="9" spans="1:6" ht="24">
      <c r="A9" s="9" t="s">
        <v>46</v>
      </c>
      <c r="B9" s="10" t="s">
        <v>95</v>
      </c>
      <c r="C9" s="10" t="s">
        <v>96</v>
      </c>
      <c r="D9" s="11" t="s">
        <v>97</v>
      </c>
    </row>
    <row r="10" spans="1:6" ht="24">
      <c r="A10" s="6" t="s">
        <v>53</v>
      </c>
      <c r="B10" s="7" t="s">
        <v>98</v>
      </c>
      <c r="C10" s="7" t="s">
        <v>96</v>
      </c>
      <c r="D10" s="8" t="s">
        <v>71</v>
      </c>
    </row>
    <row r="11" spans="1:6" ht="24">
      <c r="A11" s="12" t="s">
        <v>61</v>
      </c>
      <c r="B11" s="13" t="s">
        <v>99</v>
      </c>
      <c r="C11" s="13" t="s">
        <v>100</v>
      </c>
      <c r="D11" s="14" t="s">
        <v>101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0FF6-220B-4F72-89EC-456CBB5AFED3}">
  <dimension ref="A1:D7"/>
  <sheetViews>
    <sheetView workbookViewId="0">
      <selection activeCell="J8" sqref="J8"/>
    </sheetView>
  </sheetViews>
  <sheetFormatPr defaultRowHeight="15"/>
  <sheetData>
    <row r="1" spans="1:4" ht="24">
      <c r="A1" s="3" t="s">
        <v>3</v>
      </c>
      <c r="B1" s="4" t="s">
        <v>102</v>
      </c>
      <c r="C1" s="4" t="s">
        <v>103</v>
      </c>
      <c r="D1" s="5" t="s">
        <v>104</v>
      </c>
    </row>
    <row r="2" spans="1:4" ht="24">
      <c r="A2" s="6" t="s">
        <v>8</v>
      </c>
      <c r="B2" s="7" t="s">
        <v>105</v>
      </c>
      <c r="C2" s="7" t="s">
        <v>106</v>
      </c>
      <c r="D2" s="8" t="s">
        <v>107</v>
      </c>
    </row>
    <row r="3" spans="1:4" ht="24">
      <c r="A3" s="9" t="s">
        <v>13</v>
      </c>
      <c r="B3" s="10" t="s">
        <v>108</v>
      </c>
      <c r="C3" s="10" t="s">
        <v>109</v>
      </c>
      <c r="D3" s="11" t="s">
        <v>110</v>
      </c>
    </row>
    <row r="4" spans="1:4" ht="24">
      <c r="A4" s="6" t="s">
        <v>17</v>
      </c>
      <c r="B4" s="7" t="s">
        <v>111</v>
      </c>
      <c r="C4" s="7" t="s">
        <v>112</v>
      </c>
      <c r="D4" s="8" t="s">
        <v>113</v>
      </c>
    </row>
    <row r="5" spans="1:4" ht="24">
      <c r="A5" s="9" t="s">
        <v>26</v>
      </c>
      <c r="B5" s="10" t="s">
        <v>114</v>
      </c>
      <c r="C5" s="10" t="s">
        <v>115</v>
      </c>
      <c r="D5" s="11" t="s">
        <v>116</v>
      </c>
    </row>
    <row r="6" spans="1:4" ht="24">
      <c r="A6" s="6" t="s">
        <v>34</v>
      </c>
      <c r="B6" s="7" t="s">
        <v>117</v>
      </c>
      <c r="C6" s="7" t="s">
        <v>106</v>
      </c>
      <c r="D6" s="8" t="s">
        <v>118</v>
      </c>
    </row>
    <row r="7" spans="1:4" ht="24">
      <c r="A7" s="12" t="s">
        <v>42</v>
      </c>
      <c r="B7" s="13" t="s">
        <v>119</v>
      </c>
      <c r="C7" s="13" t="s">
        <v>109</v>
      </c>
      <c r="D7" s="14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D1A7-C136-4D39-BE1E-D1F1AD2B20F1}">
  <dimension ref="A1:J16"/>
  <sheetViews>
    <sheetView workbookViewId="0">
      <selection activeCell="D7" sqref="D7"/>
    </sheetView>
  </sheetViews>
  <sheetFormatPr defaultRowHeight="15"/>
  <sheetData>
    <row r="1" spans="1:10" ht="36">
      <c r="A1" s="3" t="s">
        <v>121</v>
      </c>
      <c r="B1" s="4" t="s">
        <v>2</v>
      </c>
      <c r="C1" s="4" t="s">
        <v>3</v>
      </c>
      <c r="D1" s="46" t="s">
        <v>122</v>
      </c>
    </row>
    <row r="2" spans="1:10" ht="24">
      <c r="A2" s="23" t="s">
        <v>123</v>
      </c>
      <c r="B2" s="24" t="s">
        <v>7</v>
      </c>
      <c r="C2" s="24" t="s">
        <v>8</v>
      </c>
      <c r="D2" s="45" t="s">
        <v>124</v>
      </c>
      <c r="J2">
        <f>_xlfn.XLOOKUP(B2&amp;"-"&amp;C2,Sheet4!A:A,Sheet4!D:D,0)</f>
        <v>0</v>
      </c>
    </row>
    <row r="3" spans="1:10" ht="24">
      <c r="A3" s="25" t="s">
        <v>125</v>
      </c>
      <c r="B3" s="26" t="s">
        <v>7</v>
      </c>
      <c r="C3" s="26" t="s">
        <v>17</v>
      </c>
      <c r="D3" s="27" t="s">
        <v>126</v>
      </c>
    </row>
    <row r="4" spans="1:10" ht="24">
      <c r="A4" s="6" t="s">
        <v>127</v>
      </c>
      <c r="B4" s="7" t="s">
        <v>12</v>
      </c>
      <c r="C4" s="7" t="s">
        <v>34</v>
      </c>
      <c r="D4" s="8" t="s">
        <v>128</v>
      </c>
    </row>
    <row r="5" spans="1:10" ht="24">
      <c r="A5" s="9" t="s">
        <v>129</v>
      </c>
      <c r="B5" s="10" t="s">
        <v>21</v>
      </c>
      <c r="C5" s="10" t="s">
        <v>26</v>
      </c>
      <c r="D5" s="11" t="s">
        <v>130</v>
      </c>
    </row>
    <row r="6" spans="1:10" ht="24">
      <c r="A6" s="6" t="s">
        <v>131</v>
      </c>
      <c r="B6" s="7" t="s">
        <v>30</v>
      </c>
      <c r="C6" s="7" t="s">
        <v>13</v>
      </c>
      <c r="D6" s="8" t="s">
        <v>132</v>
      </c>
    </row>
    <row r="7" spans="1:10" ht="24">
      <c r="A7" s="12" t="s">
        <v>133</v>
      </c>
      <c r="B7" s="13" t="s">
        <v>25</v>
      </c>
      <c r="C7" s="13" t="s">
        <v>42</v>
      </c>
      <c r="D7" s="14" t="s">
        <v>134</v>
      </c>
    </row>
    <row r="10" spans="1:10" ht="36">
      <c r="E10" s="3" t="s">
        <v>121</v>
      </c>
      <c r="F10" s="4" t="s">
        <v>2</v>
      </c>
      <c r="G10" s="4" t="s">
        <v>3</v>
      </c>
      <c r="H10" s="46" t="s">
        <v>122</v>
      </c>
    </row>
    <row r="11" spans="1:10" ht="24">
      <c r="E11" s="23" t="s">
        <v>123</v>
      </c>
      <c r="F11" s="24" t="s">
        <v>7</v>
      </c>
      <c r="G11" s="24" t="s">
        <v>8</v>
      </c>
      <c r="H11" s="45" t="s">
        <v>124</v>
      </c>
    </row>
    <row r="12" spans="1:10" ht="24">
      <c r="E12" s="25" t="s">
        <v>125</v>
      </c>
      <c r="F12" s="26" t="s">
        <v>7</v>
      </c>
      <c r="G12" s="26" t="s">
        <v>17</v>
      </c>
      <c r="H12" s="27" t="s">
        <v>126</v>
      </c>
    </row>
    <row r="13" spans="1:10" ht="24">
      <c r="E13" s="6" t="s">
        <v>127</v>
      </c>
      <c r="F13" s="7" t="s">
        <v>12</v>
      </c>
      <c r="G13" s="7" t="s">
        <v>34</v>
      </c>
      <c r="H13" s="8" t="s">
        <v>128</v>
      </c>
    </row>
    <row r="14" spans="1:10" ht="24">
      <c r="E14" s="9" t="s">
        <v>129</v>
      </c>
      <c r="F14" s="10" t="s">
        <v>21</v>
      </c>
      <c r="G14" s="10" t="s">
        <v>26</v>
      </c>
      <c r="H14" s="11" t="s">
        <v>130</v>
      </c>
    </row>
    <row r="15" spans="1:10" ht="24">
      <c r="E15" s="6" t="s">
        <v>131</v>
      </c>
      <c r="F15" s="7" t="s">
        <v>30</v>
      </c>
      <c r="G15" s="7" t="s">
        <v>13</v>
      </c>
      <c r="H15" s="8" t="s">
        <v>132</v>
      </c>
    </row>
    <row r="16" spans="1:10" ht="24">
      <c r="E16" s="12" t="s">
        <v>133</v>
      </c>
      <c r="F16" s="13" t="s">
        <v>25</v>
      </c>
      <c r="G16" s="13" t="s">
        <v>42</v>
      </c>
      <c r="H16" s="14" t="s">
        <v>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BB5A-AFB1-4DE6-974A-C17B5D0BACBF}">
  <dimension ref="A1:R48"/>
  <sheetViews>
    <sheetView workbookViewId="0">
      <selection activeCell="V15" sqref="V15"/>
    </sheetView>
  </sheetViews>
  <sheetFormatPr defaultRowHeight="15"/>
  <cols>
    <col min="1" max="2" width="10" bestFit="1" customWidth="1"/>
    <col min="3" max="3" width="11.5703125" customWidth="1"/>
    <col min="4" max="4" width="9.140625" style="64"/>
    <col min="5" max="5" width="18.42578125" customWidth="1"/>
    <col min="6" max="6" width="16.28515625" customWidth="1"/>
    <col min="7" max="7" width="19.85546875" customWidth="1"/>
    <col min="9" max="9" width="13.85546875" style="49" customWidth="1"/>
    <col min="10" max="10" width="13.140625" style="51" customWidth="1"/>
    <col min="11" max="11" width="14.42578125" style="61" customWidth="1"/>
    <col min="12" max="12" width="12.85546875" style="61" customWidth="1"/>
  </cols>
  <sheetData>
    <row r="1" spans="1:14" ht="20.25" customHeight="1">
      <c r="A1" s="67" t="s">
        <v>135</v>
      </c>
      <c r="B1" s="68" t="s">
        <v>136</v>
      </c>
      <c r="C1" s="68" t="s">
        <v>137</v>
      </c>
      <c r="D1" s="69" t="s">
        <v>138</v>
      </c>
      <c r="E1" s="70" t="s">
        <v>139</v>
      </c>
      <c r="F1" s="70" t="s">
        <v>140</v>
      </c>
      <c r="G1" s="70" t="s">
        <v>141</v>
      </c>
      <c r="H1" s="71" t="s">
        <v>142</v>
      </c>
      <c r="I1" s="72" t="s">
        <v>143</v>
      </c>
      <c r="J1" s="73" t="s">
        <v>144</v>
      </c>
      <c r="K1" s="74" t="s">
        <v>145</v>
      </c>
      <c r="L1" s="75" t="s">
        <v>146</v>
      </c>
    </row>
    <row r="2" spans="1:14" ht="14.25" customHeight="1">
      <c r="A2" s="65" t="s">
        <v>5</v>
      </c>
      <c r="B2" s="28" t="s">
        <v>7</v>
      </c>
      <c r="C2" s="28" t="s">
        <v>8</v>
      </c>
      <c r="D2" s="63" t="str">
        <f>VLOOKUP(Sheet1!B6,Sheet1!B6:E24,4,0)</f>
        <v>3 </v>
      </c>
      <c r="E2" s="47" t="str">
        <f>VLOOKUP(B2,Sheet2!$A$2:$B$11,2,FALSE)</f>
        <v>Laptop Pro X </v>
      </c>
      <c r="F2" s="31" t="str">
        <f>VLOOKUP(B2,Sheet2!$A$2:$C$11,3,FALSE)</f>
        <v>Electronics </v>
      </c>
      <c r="G2" s="31" t="str">
        <f>VLOOKUP(C2,Sheet3!$A$2:$B$7,2,FALSE)</f>
        <v>TechCorp GmbH </v>
      </c>
      <c r="H2" s="29" t="str">
        <f>VLOOKUP(C2,Sheet3!$A$2:$C$7,3,FALSE)</f>
        <v>North </v>
      </c>
      <c r="I2" s="48" t="str">
        <f>VLOOKUP(B2,Sheet2!$A$2:$D$11,4,FALSE)</f>
        <v>1,200 </v>
      </c>
      <c r="J2" s="45" t="str" cm="1">
        <f t="array" ref="J2">_xlfn._xlws.FILTER(Sheet4!D:D,(Sheet4!B:B=B2)*(Sheet4!C:C=C2),0)</f>
        <v>1,050 </v>
      </c>
      <c r="K2" s="62" t="str">
        <f>IF(J2=0,I2,J2)</f>
        <v>1,050 </v>
      </c>
      <c r="L2" s="61">
        <f>IFERROR(_xlfn.NUMBERVALUE(SUBSTITUTE(K2, CHAR(160), "")) * _xlfn.NUMBERVALUE(SUBSTITUTE(D2, CHAR(160), "")), 0)</f>
        <v>3150</v>
      </c>
      <c r="M2" s="61"/>
    </row>
    <row r="3" spans="1:14" ht="14.25">
      <c r="A3" s="66" t="str">
        <f>VLOOKUP(Sheet1!A7,Sheet1!A7:A25,1,FALSE)</f>
        <v>1002 </v>
      </c>
      <c r="B3" s="30" t="str">
        <f>VLOOKUP(Sheet1!A7,Sheet1!A7:C25,3,FALSE)</f>
        <v>P002 </v>
      </c>
      <c r="C3" s="30" t="str">
        <f>VLOOKUP(Sheet1!A7,Sheet1!A7:D25,4,0)</f>
        <v>C002 </v>
      </c>
      <c r="D3" s="63" t="str">
        <f>VLOOKUP(Sheet1!B7,Sheet1!B7:E25,4,0)</f>
        <v>15 </v>
      </c>
      <c r="E3" s="47" t="str">
        <f>VLOOKUP(B3,Sheet2!$A$2:$B$11,2,FALSE)</f>
        <v>Wireless Mouse </v>
      </c>
      <c r="F3" s="31" t="str">
        <f>VLOOKUP(B3,Sheet2!$A$2:$C$11,3,FALSE)</f>
        <v>Electronics </v>
      </c>
      <c r="G3" s="31" t="str">
        <f>VLOOKUP(C3,Sheet3!$A$2:$B$7,2,FALSE)</f>
        <v>BrightSales Ltd </v>
      </c>
      <c r="H3" s="29" t="str">
        <f>VLOOKUP(C3,Sheet3!$A$2:$C$7,3,FALSE)</f>
        <v>South </v>
      </c>
      <c r="I3" s="48" t="str">
        <f>VLOOKUP(B3,Sheet2!$A$2:$D$11,4,FALSE)</f>
        <v>45 </v>
      </c>
      <c r="J3" s="45" cm="1">
        <f t="array" ref="J3">_xlfn._xlws.FILTER(Sheet4!D:D,(Sheet4!B:B=B3)*(Sheet4!C:C=C3),0)</f>
        <v>0</v>
      </c>
      <c r="K3" s="62" t="str">
        <f t="shared" ref="K3:K21" si="0">IF(J3=0,I3,J3)</f>
        <v>45 </v>
      </c>
      <c r="L3" s="61">
        <f t="shared" ref="L3:L21" si="1">IFERROR(_xlfn.NUMBERVALUE(SUBSTITUTE(K3, CHAR(160), "")) * _xlfn.NUMBERVALUE(SUBSTITUTE(D3, CHAR(160), "")), 0)</f>
        <v>675</v>
      </c>
    </row>
    <row r="4" spans="1:14">
      <c r="A4" s="66" t="str">
        <f>VLOOKUP(Sheet1!A8,Sheet1!A8:A26,1,FALSE)</f>
        <v>1003 </v>
      </c>
      <c r="B4" s="30" t="str">
        <f>VLOOKUP(Sheet1!A8,Sheet1!A8:C26,3,FALSE)</f>
        <v>P001 </v>
      </c>
      <c r="C4" s="30" t="str">
        <f>VLOOKUP(Sheet1!A8,Sheet1!A8:D26,4,0)</f>
        <v>C003 </v>
      </c>
      <c r="D4" s="63" t="str">
        <f>VLOOKUP(Sheet1!B8,Sheet1!B8:E26,4,0)</f>
        <v>2 </v>
      </c>
      <c r="E4" s="47" t="str">
        <f>VLOOKUP(B4,Sheet2!$A$2:$B$11,2,FALSE)</f>
        <v>Laptop Pro X </v>
      </c>
      <c r="F4" s="31" t="str">
        <f>VLOOKUP(B4,Sheet2!$A$2:$C$11,3,FALSE)</f>
        <v>Electronics </v>
      </c>
      <c r="G4" s="31" t="str">
        <f>VLOOKUP(C4,Sheet3!$A$2:$B$7,2,FALSE)</f>
        <v>Nexus Retail </v>
      </c>
      <c r="H4" s="29" t="str">
        <f>VLOOKUP(C4,Sheet3!$A$2:$C$7,3,FALSE)</f>
        <v>East </v>
      </c>
      <c r="I4" s="48" t="str">
        <f>VLOOKUP(B4,Sheet2!$A$2:$D$11,4,FALSE)</f>
        <v>1,200 </v>
      </c>
      <c r="J4" s="45" t="str" cm="1">
        <f t="array" ref="J4">_xlfn._xlws.FILTER(Sheet4!D:D,(Sheet4!B:B=B4)*(Sheet4!C:C=C4),0)</f>
        <v>1,100 </v>
      </c>
      <c r="K4" s="62" t="str">
        <f t="shared" si="0"/>
        <v>1,100 </v>
      </c>
      <c r="L4" s="61">
        <f t="shared" si="1"/>
        <v>2200</v>
      </c>
      <c r="N4" t="str" cm="1">
        <f t="array" ref="N4">_xlfn._xlws.FILTER(Sheet4!D:D,(Sheet4!B:B=B2)*(Sheet4!C:C=C2),0)</f>
        <v>1,050 </v>
      </c>
    </row>
    <row r="5" spans="1:14" ht="14.25">
      <c r="A5" s="66" t="str">
        <f>VLOOKUP(Sheet1!A9,Sheet1!A9:A27,1,FALSE)</f>
        <v>1004 </v>
      </c>
      <c r="B5" s="30" t="str">
        <f>VLOOKUP(Sheet1!A9,Sheet1!A9:C27,3,FALSE)</f>
        <v>P005 </v>
      </c>
      <c r="C5" s="30" t="str">
        <f>VLOOKUP(Sheet1!A9,Sheet1!A9:D27,4,0)</f>
        <v>C001 </v>
      </c>
      <c r="D5" s="63" t="str">
        <f>VLOOKUP(Sheet1!B9,Sheet1!B9:E27,4,0)</f>
        <v>8 </v>
      </c>
      <c r="E5" s="47" t="str">
        <f>VLOOKUP(B5,Sheet2!$A$2:$B$11,2,FALSE)</f>
        <v>Headphones </v>
      </c>
      <c r="F5" s="31" t="str">
        <f>VLOOKUP(B5,Sheet2!$A$2:$C$11,3,FALSE)</f>
        <v>Electronics </v>
      </c>
      <c r="G5" s="31" t="str">
        <f>VLOOKUP(C5,Sheet3!$A$2:$B$7,2,FALSE)</f>
        <v>TechCorp GmbH </v>
      </c>
      <c r="H5" s="29" t="str">
        <f>VLOOKUP(C5,Sheet3!$A$2:$C$7,3,FALSE)</f>
        <v>North </v>
      </c>
      <c r="I5" s="48" t="str">
        <f>VLOOKUP(B5,Sheet2!$A$2:$D$11,4,FALSE)</f>
        <v>120 </v>
      </c>
      <c r="J5" s="45" cm="1">
        <f t="array" ref="J5">_xlfn._xlws.FILTER(Sheet4!D:D,(Sheet4!B:B=B5)*(Sheet4!C:C=C5),0)</f>
        <v>0</v>
      </c>
      <c r="K5" s="62" t="str">
        <f t="shared" si="0"/>
        <v>120 </v>
      </c>
      <c r="L5" s="61">
        <f t="shared" si="1"/>
        <v>960</v>
      </c>
    </row>
    <row r="6" spans="1:14">
      <c r="A6" s="66" t="str">
        <f>VLOOKUP(Sheet1!A10,Sheet1!A10:A28,1,FALSE)</f>
        <v>1005 </v>
      </c>
      <c r="B6" s="30" t="str">
        <f>VLOOKUP(Sheet1!A10,Sheet1!A10:C28,3,FALSE)</f>
        <v>P003 </v>
      </c>
      <c r="C6" s="30" t="str">
        <f>VLOOKUP(Sheet1!A10,Sheet1!A10:D28,4,0)</f>
        <v>C004 </v>
      </c>
      <c r="D6" s="63" t="str">
        <f>VLOOKUP(Sheet1!B10,Sheet1!B10:E28,4,0)</f>
        <v>4 </v>
      </c>
      <c r="E6" s="47" t="str">
        <f>VLOOKUP(B6,Sheet2!$A$2:$B$11,2,FALSE)</f>
        <v>Standing Desk </v>
      </c>
      <c r="F6" s="31" t="str">
        <f>VLOOKUP(B6,Sheet2!$A$2:$C$11,3,FALSE)</f>
        <v>Furniture </v>
      </c>
      <c r="G6" s="31" t="str">
        <f>VLOOKUP(C6,Sheet3!$A$2:$B$7,2,FALSE)</f>
        <v>Alpine Supplies </v>
      </c>
      <c r="H6" s="29" t="str">
        <f>VLOOKUP(C6,Sheet3!$A$2:$C$7,3,FALSE)</f>
        <v>West </v>
      </c>
      <c r="I6" s="48" t="str">
        <f>VLOOKUP(B6,Sheet2!$A$2:$D$11,4,FALSE)</f>
        <v>600 </v>
      </c>
      <c r="J6" s="45" cm="1">
        <f t="array" ref="J6">_xlfn._xlws.FILTER(Sheet4!D:D,(Sheet4!B:B=B6)*(Sheet4!C:C=C6),0)</f>
        <v>0</v>
      </c>
      <c r="K6" s="62" t="str">
        <f t="shared" si="0"/>
        <v>600 </v>
      </c>
      <c r="L6" s="61">
        <f t="shared" si="1"/>
        <v>2400</v>
      </c>
      <c r="M6" s="57"/>
      <c r="N6" s="57"/>
    </row>
    <row r="7" spans="1:14">
      <c r="A7" s="66" t="str">
        <f>VLOOKUP(Sheet1!A11,Sheet1!A11:A29,1,FALSE)</f>
        <v>1006 </v>
      </c>
      <c r="B7" s="30" t="str">
        <f>VLOOKUP(Sheet1!A11,Sheet1!A11:C29,3,FALSE)</f>
        <v>P007 </v>
      </c>
      <c r="C7" s="30" t="str">
        <f>VLOOKUP(Sheet1!A11,Sheet1!A11:D29,4,0)</f>
        <v>C002 </v>
      </c>
      <c r="D7" s="63" t="str">
        <f>VLOOKUP(Sheet1!B11,Sheet1!B11:E29,4,0)</f>
        <v>5 </v>
      </c>
      <c r="E7" s="47" t="str">
        <f>VLOOKUP(B7,Sheet2!$A$2:$B$11,2,FALSE)</f>
        <v>Monitor 27" </v>
      </c>
      <c r="F7" s="31" t="str">
        <f>VLOOKUP(B7,Sheet2!$A$2:$C$11,3,FALSE)</f>
        <v>Electronics </v>
      </c>
      <c r="G7" s="31" t="str">
        <f>VLOOKUP(C7,Sheet3!$A$2:$B$7,2,FALSE)</f>
        <v>BrightSales Ltd </v>
      </c>
      <c r="H7" s="29" t="str">
        <f>VLOOKUP(C7,Sheet3!$A$2:$C$7,3,FALSE)</f>
        <v>South </v>
      </c>
      <c r="I7" s="48" t="str">
        <f>VLOOKUP(B7,Sheet2!$A$2:$D$11,4,FALSE)</f>
        <v>400 </v>
      </c>
      <c r="J7" s="45" t="str" cm="1">
        <f t="array" ref="J7">_xlfn._xlws.FILTER(Sheet4!D:D,(Sheet4!B:B=B7)*(Sheet4!C:C=C7),0)</f>
        <v>360 </v>
      </c>
      <c r="K7" s="62" t="str">
        <f t="shared" si="0"/>
        <v>360 </v>
      </c>
      <c r="L7" s="61">
        <f t="shared" si="1"/>
        <v>1800</v>
      </c>
    </row>
    <row r="8" spans="1:14">
      <c r="A8" s="66" t="str">
        <f>VLOOKUP(Sheet1!A12,Sheet1!A12:A30,1,FALSE)</f>
        <v>1007 </v>
      </c>
      <c r="B8" s="30" t="str">
        <f>VLOOKUP(Sheet1!A12,Sheet1!A12:C30,3,FALSE)</f>
        <v>P002 </v>
      </c>
      <c r="C8" s="30" t="str">
        <f>VLOOKUP(Sheet1!A12,Sheet1!A12:D30,4,0)</f>
        <v>C005 </v>
      </c>
      <c r="D8" s="63" t="str">
        <f>VLOOKUP(Sheet1!B12,Sheet1!B12:E30,4,0)</f>
        <v>20 </v>
      </c>
      <c r="E8" s="47" t="str">
        <f>VLOOKUP(B8,Sheet2!$A$2:$B$11,2,FALSE)</f>
        <v>Wireless Mouse </v>
      </c>
      <c r="F8" s="31" t="str">
        <f>VLOOKUP(B8,Sheet2!$A$2:$C$11,3,FALSE)</f>
        <v>Electronics </v>
      </c>
      <c r="G8" s="31" t="str">
        <f>VLOOKUP(C8,Sheet3!$A$2:$B$7,2,FALSE)</f>
        <v>Metro Office </v>
      </c>
      <c r="H8" s="29" t="str">
        <f>VLOOKUP(C8,Sheet3!$A$2:$C$7,3,FALSE)</f>
        <v>North </v>
      </c>
      <c r="I8" s="48" t="str">
        <f>VLOOKUP(B8,Sheet2!$A$2:$D$11,4,FALSE)</f>
        <v>45 </v>
      </c>
      <c r="J8" s="45" t="str" cm="1">
        <f t="array" ref="J8">_xlfn._xlws.FILTER(Sheet4!D:D,(Sheet4!B:B=B8)*(Sheet4!C:C=C8),0)</f>
        <v>38 </v>
      </c>
      <c r="K8" s="62" t="str">
        <f t="shared" si="0"/>
        <v>38 </v>
      </c>
      <c r="L8" s="61">
        <f t="shared" si="1"/>
        <v>760</v>
      </c>
    </row>
    <row r="9" spans="1:14" ht="14.25">
      <c r="A9" s="66" t="str">
        <f>VLOOKUP(Sheet1!A13,Sheet1!A13:A31,1,FALSE)</f>
        <v>1008 </v>
      </c>
      <c r="B9" s="30" t="str">
        <f>VLOOKUP(Sheet1!A13,Sheet1!A13:C31,3,FALSE)</f>
        <v>P004 </v>
      </c>
      <c r="C9" s="30" t="str">
        <f>VLOOKUP(Sheet1!A13,Sheet1!A13:D31,4,0)</f>
        <v>C003 </v>
      </c>
      <c r="D9" s="63" t="str">
        <f>VLOOKUP(Sheet1!B13,Sheet1!B13:E31,4,0)</f>
        <v>6 </v>
      </c>
      <c r="E9" s="47" t="str">
        <f>VLOOKUP(B9,Sheet2!$A$2:$B$11,2,FALSE)</f>
        <v>Office Chair </v>
      </c>
      <c r="F9" s="31" t="str">
        <f>VLOOKUP(B9,Sheet2!$A$2:$C$11,3,FALSE)</f>
        <v>Furniture </v>
      </c>
      <c r="G9" s="31" t="str">
        <f>VLOOKUP(C9,Sheet3!$A$2:$B$7,2,FALSE)</f>
        <v>Nexus Retail </v>
      </c>
      <c r="H9" s="29" t="str">
        <f>VLOOKUP(C9,Sheet3!$A$2:$C$7,3,FALSE)</f>
        <v>East </v>
      </c>
      <c r="I9" s="48" t="str">
        <f>VLOOKUP(B9,Sheet2!$A$2:$D$11,4,FALSE)</f>
        <v>250 </v>
      </c>
      <c r="J9" s="45" cm="1">
        <f t="array" ref="J9">_xlfn._xlws.FILTER(Sheet4!D:D,(Sheet4!B:B=B9)*(Sheet4!C:C=C9),0)</f>
        <v>0</v>
      </c>
      <c r="K9" s="62" t="str">
        <f t="shared" si="0"/>
        <v>250 </v>
      </c>
      <c r="L9" s="61">
        <f t="shared" si="1"/>
        <v>1500</v>
      </c>
    </row>
    <row r="10" spans="1:14" ht="14.25">
      <c r="A10" s="66" t="str">
        <f>VLOOKUP(Sheet1!A14,Sheet1!A14:A32,1,FALSE)</f>
        <v>1009 </v>
      </c>
      <c r="B10" s="30" t="str">
        <f>VLOOKUP(Sheet1!A14,Sheet1!A14:C32,3,FALSE)</f>
        <v>P001 </v>
      </c>
      <c r="C10" s="30" t="str">
        <f>VLOOKUP(Sheet1!A14,Sheet1!A14:D32,4,0)</f>
        <v>C006 </v>
      </c>
      <c r="D10" s="63" t="str">
        <f>VLOOKUP(Sheet1!B14,Sheet1!B14:E32,4,0)</f>
        <v>1 </v>
      </c>
      <c r="E10" s="47" t="str">
        <f>VLOOKUP(B10,Sheet2!$A$2:$B$11,2,FALSE)</f>
        <v>Laptop Pro X </v>
      </c>
      <c r="F10" s="31" t="str">
        <f>VLOOKUP(B10,Sheet2!$A$2:$C$11,3,FALSE)</f>
        <v>Electronics </v>
      </c>
      <c r="G10" s="31" t="str">
        <f>VLOOKUP(C10,Sheet3!$A$2:$B$7,2,FALSE)</f>
        <v>Delta Systems </v>
      </c>
      <c r="H10" s="29" t="str">
        <f>VLOOKUP(C10,Sheet3!$A$2:$C$7,3,FALSE)</f>
        <v>South </v>
      </c>
      <c r="I10" s="48" t="str">
        <f>VLOOKUP(B10,Sheet2!$A$2:$D$11,4,FALSE)</f>
        <v>1,200 </v>
      </c>
      <c r="J10" s="45" cm="1">
        <f t="array" ref="J10">_xlfn._xlws.FILTER(Sheet4!D:D,(Sheet4!B:B=B10)*(Sheet4!C:C=C10),0)</f>
        <v>0</v>
      </c>
      <c r="K10" s="62" t="str">
        <f t="shared" si="0"/>
        <v>1,200 </v>
      </c>
      <c r="L10" s="61">
        <f t="shared" si="1"/>
        <v>1200</v>
      </c>
    </row>
    <row r="11" spans="1:14" ht="14.25">
      <c r="A11" s="66" t="str">
        <f>VLOOKUP(Sheet1!A15,Sheet1!A15:A33,1,FALSE)</f>
        <v>1010 </v>
      </c>
      <c r="B11" s="30" t="str">
        <f>VLOOKUP(Sheet1!A15,Sheet1!A15:C33,3,FALSE)</f>
        <v>P008 </v>
      </c>
      <c r="C11" s="30" t="str">
        <f>VLOOKUP(Sheet1!A15,Sheet1!A15:D33,4,0)</f>
        <v>C001 </v>
      </c>
      <c r="D11" s="63" t="str">
        <f>VLOOKUP(Sheet1!B15,Sheet1!B15:E33,4,0)</f>
        <v>10 </v>
      </c>
      <c r="E11" s="47" t="str">
        <f>VLOOKUP(B11,Sheet2!$A$2:$B$11,2,FALSE)</f>
        <v>Whiteboard </v>
      </c>
      <c r="F11" s="31" t="str">
        <f>VLOOKUP(B11,Sheet2!$A$2:$C$11,3,FALSE)</f>
        <v>Office Supplies </v>
      </c>
      <c r="G11" s="31" t="str">
        <f>VLOOKUP(C11,Sheet3!$A$2:$B$7,2,FALSE)</f>
        <v>TechCorp GmbH </v>
      </c>
      <c r="H11" s="29" t="str">
        <f>VLOOKUP(C11,Sheet3!$A$2:$C$7,3,FALSE)</f>
        <v>North </v>
      </c>
      <c r="I11" s="48" t="str">
        <f>VLOOKUP(B11,Sheet2!$A$2:$D$11,4,FALSE)</f>
        <v>80 </v>
      </c>
      <c r="J11" s="45" cm="1">
        <f t="array" ref="J11">_xlfn._xlws.FILTER(Sheet4!D:D,(Sheet4!B:B=B11)*(Sheet4!C:C=C11),0)</f>
        <v>0</v>
      </c>
      <c r="K11" s="62" t="str">
        <f t="shared" si="0"/>
        <v>80 </v>
      </c>
      <c r="L11" s="61">
        <f t="shared" si="1"/>
        <v>800</v>
      </c>
    </row>
    <row r="12" spans="1:14">
      <c r="A12" s="66" t="str">
        <f>VLOOKUP(Sheet1!A16,Sheet1!A16:A34,1,FALSE)</f>
        <v>1011 </v>
      </c>
      <c r="B12" s="30" t="str">
        <f>VLOOKUP(Sheet1!A16,Sheet1!A16:C34,3,FALSE)</f>
        <v>P005 </v>
      </c>
      <c r="C12" s="30" t="str">
        <f>VLOOKUP(Sheet1!A16,Sheet1!A16:D34,4,0)</f>
        <v>C004 </v>
      </c>
      <c r="D12" s="63" t="str">
        <f>VLOOKUP(Sheet1!B16,Sheet1!B16:E34,4,0)</f>
        <v>12 </v>
      </c>
      <c r="E12" s="47" t="str">
        <f>VLOOKUP(B12,Sheet2!$A$2:$B$11,2,FALSE)</f>
        <v>Headphones </v>
      </c>
      <c r="F12" s="31" t="str">
        <f>VLOOKUP(B12,Sheet2!$A$2:$C$11,3,FALSE)</f>
        <v>Electronics </v>
      </c>
      <c r="G12" s="31" t="str">
        <f>VLOOKUP(C12,Sheet3!$A$2:$B$7,2,FALSE)</f>
        <v>Alpine Supplies </v>
      </c>
      <c r="H12" s="29" t="str">
        <f>VLOOKUP(C12,Sheet3!$A$2:$C$7,3,FALSE)</f>
        <v>West </v>
      </c>
      <c r="I12" s="48" t="str">
        <f>VLOOKUP(B12,Sheet2!$A$2:$D$11,4,FALSE)</f>
        <v>120 </v>
      </c>
      <c r="J12" s="45" t="str" cm="1">
        <f t="array" ref="J12">_xlfn._xlws.FILTER(Sheet4!D:D,(Sheet4!B:B=B12)*(Sheet4!C:C=C12),0)</f>
        <v>105 </v>
      </c>
      <c r="K12" s="62" t="str">
        <f t="shared" si="0"/>
        <v>105 </v>
      </c>
      <c r="L12" s="61">
        <f t="shared" si="1"/>
        <v>1260</v>
      </c>
    </row>
    <row r="13" spans="1:14" ht="14.25">
      <c r="A13" s="66" t="str">
        <f>VLOOKUP(Sheet1!A17,Sheet1!A17:A35,1,FALSE)</f>
        <v>1012 </v>
      </c>
      <c r="B13" s="30" t="str">
        <f>VLOOKUP(Sheet1!A17,Sheet1!A17:C35,3,FALSE)</f>
        <v>P009 </v>
      </c>
      <c r="C13" s="30" t="str">
        <f>VLOOKUP(Sheet1!A17,Sheet1!A17:D35,4,0)</f>
        <v>C002 </v>
      </c>
      <c r="D13" s="63" t="str">
        <f>VLOOKUP(Sheet1!B17,Sheet1!B17:E35,4,0)</f>
        <v>40 </v>
      </c>
      <c r="E13" s="47" t="str">
        <f>VLOOKUP(B13,Sheet2!$A$2:$B$11,2,FALSE)</f>
        <v>Printer Ink </v>
      </c>
      <c r="F13" s="31" t="str">
        <f>VLOOKUP(B13,Sheet2!$A$2:$C$11,3,FALSE)</f>
        <v>Office Supplies </v>
      </c>
      <c r="G13" s="31" t="str">
        <f>VLOOKUP(C13,Sheet3!$A$2:$B$7,2,FALSE)</f>
        <v>BrightSales Ltd </v>
      </c>
      <c r="H13" s="29" t="str">
        <f>VLOOKUP(C13,Sheet3!$A$2:$C$7,3,FALSE)</f>
        <v>South </v>
      </c>
      <c r="I13" s="48" t="str">
        <f>VLOOKUP(B13,Sheet2!$A$2:$D$11,4,FALSE)</f>
        <v>25 </v>
      </c>
      <c r="J13" s="45" cm="1">
        <f t="array" ref="J13">_xlfn._xlws.FILTER(Sheet4!D:D,(Sheet4!B:B=B13)*(Sheet4!C:C=C13),0)</f>
        <v>0</v>
      </c>
      <c r="K13" s="62" t="str">
        <f t="shared" si="0"/>
        <v>25 </v>
      </c>
      <c r="L13" s="61">
        <f t="shared" si="1"/>
        <v>1000</v>
      </c>
    </row>
    <row r="14" spans="1:14" ht="14.25">
      <c r="A14" s="66" t="str">
        <f>VLOOKUP(Sheet1!A18,Sheet1!A18:A36,1,FALSE)</f>
        <v>1013 </v>
      </c>
      <c r="B14" s="30" t="str">
        <f>VLOOKUP(Sheet1!A18,Sheet1!A18:C36,3,FALSE)</f>
        <v>P007 </v>
      </c>
      <c r="C14" s="30" t="str">
        <f>VLOOKUP(Sheet1!A18,Sheet1!A18:D36,4,0)</f>
        <v>C005 </v>
      </c>
      <c r="D14" s="63" t="str">
        <f>VLOOKUP(Sheet1!B18,Sheet1!B18:E36,4,0)</f>
        <v>3 </v>
      </c>
      <c r="E14" s="47" t="str">
        <f>VLOOKUP(B14,Sheet2!$A$2:$B$11,2,FALSE)</f>
        <v>Monitor 27" </v>
      </c>
      <c r="F14" s="31" t="str">
        <f>VLOOKUP(B14,Sheet2!$A$2:$C$11,3,FALSE)</f>
        <v>Electronics </v>
      </c>
      <c r="G14" s="31" t="str">
        <f>VLOOKUP(C14,Sheet3!$A$2:$B$7,2,FALSE)</f>
        <v>Metro Office </v>
      </c>
      <c r="H14" s="29" t="str">
        <f>VLOOKUP(C14,Sheet3!$A$2:$C$7,3,FALSE)</f>
        <v>North </v>
      </c>
      <c r="I14" s="48" t="str">
        <f>VLOOKUP(B14,Sheet2!$A$2:$D$11,4,FALSE)</f>
        <v>400 </v>
      </c>
      <c r="J14" s="45" cm="1">
        <f t="array" ref="J14">_xlfn._xlws.FILTER(Sheet4!D:D,(Sheet4!B:B=B14)*(Sheet4!C:C=C14),0)</f>
        <v>0</v>
      </c>
      <c r="K14" s="62" t="str">
        <f t="shared" si="0"/>
        <v>400 </v>
      </c>
      <c r="L14" s="61">
        <f t="shared" si="1"/>
        <v>1200</v>
      </c>
    </row>
    <row r="15" spans="1:14">
      <c r="A15" s="66" t="str">
        <f>VLOOKUP(Sheet1!A19,Sheet1!A19:A37,1,FALSE)</f>
        <v>1014 </v>
      </c>
      <c r="B15" s="30" t="str">
        <f>VLOOKUP(Sheet1!A19,Sheet1!A19:C37,3,FALSE)</f>
        <v>P003 </v>
      </c>
      <c r="C15" s="30" t="str">
        <f>VLOOKUP(Sheet1!A19,Sheet1!A19:D37,4,0)</f>
        <v>C006 </v>
      </c>
      <c r="D15" s="63" t="str">
        <f>VLOOKUP(Sheet1!B19,Sheet1!B19:E37,4,0)</f>
        <v>2 </v>
      </c>
      <c r="E15" s="47" t="str">
        <f>VLOOKUP(B15,Sheet2!$A$2:$B$11,2,FALSE)</f>
        <v>Standing Desk </v>
      </c>
      <c r="F15" s="31" t="str">
        <f>VLOOKUP(B15,Sheet2!$A$2:$C$11,3,FALSE)</f>
        <v>Furniture </v>
      </c>
      <c r="G15" s="31" t="str">
        <f>VLOOKUP(C15,Sheet3!$A$2:$B$7,2,FALSE)</f>
        <v>Delta Systems </v>
      </c>
      <c r="H15" s="29" t="str">
        <f>VLOOKUP(C15,Sheet3!$A$2:$C$7,3,FALSE)</f>
        <v>South </v>
      </c>
      <c r="I15" s="48" t="str">
        <f>VLOOKUP(B15,Sheet2!$A$2:$D$11,4,FALSE)</f>
        <v>600 </v>
      </c>
      <c r="J15" s="45" t="str" cm="1">
        <f t="array" ref="J15">_xlfn._xlws.FILTER(Sheet4!D:D,(Sheet4!B:B=B15)*(Sheet4!C:C=C15),0)</f>
        <v>550 </v>
      </c>
      <c r="K15" s="62" t="str">
        <f t="shared" si="0"/>
        <v>550 </v>
      </c>
      <c r="L15" s="61">
        <f t="shared" si="1"/>
        <v>1100</v>
      </c>
    </row>
    <row r="16" spans="1:14" ht="14.25">
      <c r="A16" s="66" t="str">
        <f>VLOOKUP(Sheet1!A20,Sheet1!A20:A38,1,FALSE)</f>
        <v>1015 </v>
      </c>
      <c r="B16" s="30" t="str">
        <f>VLOOKUP(Sheet1!A20,Sheet1!A20:C38,3,FALSE)</f>
        <v>P010 </v>
      </c>
      <c r="C16" s="30" t="str">
        <f>VLOOKUP(Sheet1!A20,Sheet1!A20:D38,4,0)</f>
        <v>C001 </v>
      </c>
      <c r="D16" s="63" t="str">
        <f>VLOOKUP(Sheet1!B20,Sheet1!B20:E38,4,0)</f>
        <v>7 </v>
      </c>
      <c r="E16" s="47" t="str">
        <f>VLOOKUP(B16,Sheet2!$A$2:$B$11,2,FALSE)</f>
        <v>Laptop Stand </v>
      </c>
      <c r="F16" s="31" t="str">
        <f>VLOOKUP(B16,Sheet2!$A$2:$C$11,3,FALSE)</f>
        <v>Accessories </v>
      </c>
      <c r="G16" s="31" t="str">
        <f>VLOOKUP(C16,Sheet3!$A$2:$B$7,2,FALSE)</f>
        <v>TechCorp GmbH </v>
      </c>
      <c r="H16" s="29" t="str">
        <f>VLOOKUP(C16,Sheet3!$A$2:$C$7,3,FALSE)</f>
        <v>North </v>
      </c>
      <c r="I16" s="48" t="str">
        <f>VLOOKUP(B16,Sheet2!$A$2:$D$11,4,FALSE)</f>
        <v>75 </v>
      </c>
      <c r="J16" s="45" cm="1">
        <f t="array" ref="J16">_xlfn._xlws.FILTER(Sheet4!D:D,(Sheet4!B:B=B16)*(Sheet4!C:C=C16),0)</f>
        <v>0</v>
      </c>
      <c r="K16" s="62" t="str">
        <f t="shared" si="0"/>
        <v>75 </v>
      </c>
      <c r="L16" s="61">
        <f t="shared" si="1"/>
        <v>525</v>
      </c>
    </row>
    <row r="17" spans="1:18" ht="14.25">
      <c r="A17" s="66" t="str">
        <f>VLOOKUP(Sheet1!A21,Sheet1!A21:A39,1,FALSE)</f>
        <v>1016 </v>
      </c>
      <c r="B17" s="30" t="str">
        <f>VLOOKUP(Sheet1!A21,Sheet1!A21:C39,3,FALSE)</f>
        <v>P006 </v>
      </c>
      <c r="C17" s="30" t="str">
        <f>VLOOKUP(Sheet1!A21,Sheet1!A21:D39,4,0)</f>
        <v>C003 </v>
      </c>
      <c r="D17" s="63" t="str">
        <f>VLOOKUP(Sheet1!B21,Sheet1!B21:E39,4,0)</f>
        <v>9 </v>
      </c>
      <c r="E17" s="47" t="str">
        <f>VLOOKUP(B17,Sheet2!$A$2:$B$11,2,FALSE)</f>
        <v>Webcam HD </v>
      </c>
      <c r="F17" s="31" t="str">
        <f>VLOOKUP(B17,Sheet2!$A$2:$C$11,3,FALSE)</f>
        <v>Electronics </v>
      </c>
      <c r="G17" s="31" t="str">
        <f>VLOOKUP(C17,Sheet3!$A$2:$B$7,2,FALSE)</f>
        <v>Nexus Retail </v>
      </c>
      <c r="H17" s="29" t="str">
        <f>VLOOKUP(C17,Sheet3!$A$2:$C$7,3,FALSE)</f>
        <v>East </v>
      </c>
      <c r="I17" s="48" t="str">
        <f>VLOOKUP(B17,Sheet2!$A$2:$D$11,4,FALSE)</f>
        <v>90 </v>
      </c>
      <c r="J17" s="45" cm="1">
        <f t="array" ref="J17">_xlfn._xlws.FILTER(Sheet4!D:D,(Sheet4!B:B=B17)*(Sheet4!C:C=C17),0)</f>
        <v>0</v>
      </c>
      <c r="K17" s="62" t="str">
        <f t="shared" si="0"/>
        <v>90 </v>
      </c>
      <c r="L17" s="61">
        <f t="shared" si="1"/>
        <v>810</v>
      </c>
    </row>
    <row r="18" spans="1:18" ht="14.25">
      <c r="A18" s="66" t="str">
        <f>VLOOKUP(Sheet1!A22,Sheet1!A22:A40,1,FALSE)</f>
        <v>1017 </v>
      </c>
      <c r="B18" s="30" t="str">
        <f>VLOOKUP(Sheet1!A22,Sheet1!A22:C40,3,FALSE)</f>
        <v>P004 </v>
      </c>
      <c r="C18" s="30" t="str">
        <f>VLOOKUP(Sheet1!A22,Sheet1!A22:D40,4,0)</f>
        <v>C004 </v>
      </c>
      <c r="D18" s="63" t="str">
        <f>VLOOKUP(Sheet1!B22,Sheet1!B22:E40,4,0)</f>
        <v>5 </v>
      </c>
      <c r="E18" s="47" t="str">
        <f>VLOOKUP(B18,Sheet2!$A$2:$B$11,2,FALSE)</f>
        <v>Office Chair </v>
      </c>
      <c r="F18" s="31" t="str">
        <f>VLOOKUP(B18,Sheet2!$A$2:$C$11,3,FALSE)</f>
        <v>Furniture </v>
      </c>
      <c r="G18" s="31" t="str">
        <f>VLOOKUP(C18,Sheet3!$A$2:$B$7,2,FALSE)</f>
        <v>Alpine Supplies </v>
      </c>
      <c r="H18" s="29" t="str">
        <f>VLOOKUP(C18,Sheet3!$A$2:$C$7,3,FALSE)</f>
        <v>West </v>
      </c>
      <c r="I18" s="48" t="str">
        <f>VLOOKUP(B18,Sheet2!$A$2:$D$11,4,FALSE)</f>
        <v>250 </v>
      </c>
      <c r="J18" s="45" cm="1">
        <f t="array" ref="J18">_xlfn._xlws.FILTER(Sheet4!D:D,(Sheet4!B:B=B18)*(Sheet4!C:C=C18),0)</f>
        <v>0</v>
      </c>
      <c r="K18" s="62" t="str">
        <f t="shared" si="0"/>
        <v>250 </v>
      </c>
      <c r="L18" s="61">
        <f t="shared" si="1"/>
        <v>1250</v>
      </c>
    </row>
    <row r="19" spans="1:18" ht="14.25">
      <c r="A19" s="66" t="str">
        <f>VLOOKUP(Sheet1!A23,Sheet1!A23:A41,1,FALSE)</f>
        <v>1018 </v>
      </c>
      <c r="B19" s="30" t="str">
        <f>VLOOKUP(Sheet1!A23,Sheet1!A23:C41,3,FALSE)</f>
        <v>P002 </v>
      </c>
      <c r="C19" s="30" t="str">
        <f>VLOOKUP(Sheet1!A23,Sheet1!A23:D41,4,0)</f>
        <v>C006 </v>
      </c>
      <c r="D19" s="63" t="str">
        <f>VLOOKUP(Sheet1!B23,Sheet1!B23:E41,4,0)</f>
        <v>25 </v>
      </c>
      <c r="E19" s="47" t="str">
        <f>VLOOKUP(B19,Sheet2!$A$2:$B$11,2,FALSE)</f>
        <v>Wireless Mouse </v>
      </c>
      <c r="F19" s="31" t="str">
        <f>VLOOKUP(B19,Sheet2!$A$2:$C$11,3,FALSE)</f>
        <v>Electronics </v>
      </c>
      <c r="G19" s="31" t="str">
        <f>VLOOKUP(C19,Sheet3!$A$2:$B$7,2,FALSE)</f>
        <v>Delta Systems </v>
      </c>
      <c r="H19" s="29" t="str">
        <f>VLOOKUP(C19,Sheet3!$A$2:$C$7,3,FALSE)</f>
        <v>South </v>
      </c>
      <c r="I19" s="48" t="str">
        <f>VLOOKUP(B19,Sheet2!$A$2:$D$11,4,FALSE)</f>
        <v>45 </v>
      </c>
      <c r="J19" s="45" cm="1">
        <f t="array" ref="J19">_xlfn._xlws.FILTER(Sheet4!D:D,(Sheet4!B:B=B19)*(Sheet4!C:C=C19),0)</f>
        <v>0</v>
      </c>
      <c r="K19" s="62" t="str">
        <f t="shared" si="0"/>
        <v>45 </v>
      </c>
      <c r="L19" s="61">
        <f t="shared" si="1"/>
        <v>1125</v>
      </c>
    </row>
    <row r="20" spans="1:18" ht="14.25">
      <c r="A20" s="66" t="str">
        <f>VLOOKUP(Sheet1!A24,Sheet1!A24:A42,1,FALSE)</f>
        <v>1019 </v>
      </c>
      <c r="B20" s="30" t="str">
        <f>VLOOKUP(Sheet1!A24,Sheet1!A24:C42,3,FALSE)</f>
        <v>P005 </v>
      </c>
      <c r="C20" s="30" t="str">
        <f>VLOOKUP(Sheet1!A24,Sheet1!A24:D42,4,0)</f>
        <v>C002 </v>
      </c>
      <c r="D20" s="63" t="str">
        <f>VLOOKUP(Sheet1!B24,Sheet1!B24:E42,4,0)</f>
        <v>6 </v>
      </c>
      <c r="E20" s="47" t="str">
        <f>VLOOKUP(B20,Sheet2!$A$2:$B$11,2,FALSE)</f>
        <v>Headphones </v>
      </c>
      <c r="F20" s="31" t="str">
        <f>VLOOKUP(B20,Sheet2!$A$2:$C$11,3,FALSE)</f>
        <v>Electronics </v>
      </c>
      <c r="G20" s="31" t="str">
        <f>VLOOKUP(C20,Sheet3!$A$2:$B$7,2,FALSE)</f>
        <v>BrightSales Ltd </v>
      </c>
      <c r="H20" s="29" t="str">
        <f>VLOOKUP(C20,Sheet3!$A$2:$C$7,3,FALSE)</f>
        <v>South </v>
      </c>
      <c r="I20" s="48" t="str">
        <f>VLOOKUP(B20,Sheet2!$A$2:$D$11,4,FALSE)</f>
        <v>120 </v>
      </c>
      <c r="J20" s="45" cm="1">
        <f t="array" ref="J20">_xlfn._xlws.FILTER(Sheet4!D:D,(Sheet4!B:B=B20)*(Sheet4!C:C=C20),0)</f>
        <v>0</v>
      </c>
      <c r="K20" s="62" t="str">
        <f t="shared" si="0"/>
        <v>120 </v>
      </c>
      <c r="L20" s="61">
        <f t="shared" si="1"/>
        <v>720</v>
      </c>
    </row>
    <row r="21" spans="1:18" ht="14.25">
      <c r="A21" s="66" t="str">
        <f>VLOOKUP(Sheet1!A25,Sheet1!A25:A43,1,FALSE)</f>
        <v>1020 </v>
      </c>
      <c r="B21" s="30" t="str">
        <f>VLOOKUP(Sheet1!A25,Sheet1!A25:C43,3,FALSE)</f>
        <v>P001 </v>
      </c>
      <c r="C21" s="30" t="str">
        <f>VLOOKUP(Sheet1!A25,Sheet1!A25:D43,4,0)</f>
        <v>C005 </v>
      </c>
      <c r="D21" s="63" t="str">
        <f>VLOOKUP(Sheet1!B25,Sheet1!B25:E43,4,0)</f>
        <v>4 </v>
      </c>
      <c r="E21" s="47" t="str">
        <f>VLOOKUP(B21,Sheet2!$A$2:$B$11,2,FALSE)</f>
        <v>Laptop Pro X </v>
      </c>
      <c r="F21" s="31" t="str">
        <f>VLOOKUP(B21,Sheet2!$A$2:$C$11,3,FALSE)</f>
        <v>Electronics </v>
      </c>
      <c r="G21" s="31" t="str">
        <f>VLOOKUP(C21,Sheet3!$A$2:$B$7,2,FALSE)</f>
        <v>Metro Office </v>
      </c>
      <c r="H21" s="29" t="str">
        <f>VLOOKUP(C21,Sheet3!$A$2:$C$7,3,FALSE)</f>
        <v>North </v>
      </c>
      <c r="I21" s="48" t="str">
        <f>VLOOKUP(B21,Sheet2!$A$2:$D$11,4,FALSE)</f>
        <v>1,200 </v>
      </c>
      <c r="J21" s="45" cm="1">
        <f t="array" ref="J21">_xlfn._xlws.FILTER(Sheet4!D:D,(Sheet4!B:B=B21)*(Sheet4!C:C=C21),0)</f>
        <v>0</v>
      </c>
      <c r="K21" s="62" t="str">
        <f t="shared" si="0"/>
        <v>1,200 </v>
      </c>
      <c r="L21" s="61">
        <f t="shared" si="1"/>
        <v>4800</v>
      </c>
    </row>
    <row r="26" spans="1:18">
      <c r="M26" s="62" t="s">
        <v>124</v>
      </c>
    </row>
    <row r="27" spans="1:18">
      <c r="M27" s="62" t="s">
        <v>83</v>
      </c>
    </row>
    <row r="28" spans="1:18" ht="22.5">
      <c r="M28" s="62" t="s">
        <v>126</v>
      </c>
      <c r="Q28" s="52" t="s">
        <v>144</v>
      </c>
      <c r="R28" s="60" t="s">
        <v>146</v>
      </c>
    </row>
    <row r="29" spans="1:18" ht="14.25">
      <c r="M29" s="62" t="s">
        <v>90</v>
      </c>
      <c r="Q29" s="45">
        <v>1050</v>
      </c>
      <c r="R29" s="59" t="e">
        <f>(K2*D2)</f>
        <v>#VALUE!</v>
      </c>
    </row>
    <row r="30" spans="1:18" ht="14.25">
      <c r="M30" s="62" t="s">
        <v>86</v>
      </c>
      <c r="Q30" s="50">
        <v>0</v>
      </c>
      <c r="R30" s="58" t="e">
        <f>SUM(K3 * D3)</f>
        <v>#VALUE!</v>
      </c>
    </row>
    <row r="31" spans="1:18" ht="14.25">
      <c r="M31" s="62" t="s">
        <v>132</v>
      </c>
      <c r="Q31" s="53">
        <v>1100</v>
      </c>
      <c r="R31" s="58" t="e">
        <f>SUM(K4 * D4)</f>
        <v>#VALUE!</v>
      </c>
    </row>
    <row r="32" spans="1:18" ht="14.25">
      <c r="M32" s="62" t="s">
        <v>128</v>
      </c>
      <c r="Q32" s="50">
        <v>0</v>
      </c>
      <c r="R32" s="58" t="e">
        <f>SUM(K5 * D5)</f>
        <v>#VALUE!</v>
      </c>
    </row>
    <row r="33" spans="13:18" ht="14.25">
      <c r="M33" s="62" t="s">
        <v>88</v>
      </c>
      <c r="Q33" s="50">
        <v>0</v>
      </c>
      <c r="R33" s="58" t="e">
        <f>SUM(K6 * D6)</f>
        <v>#VALUE!</v>
      </c>
    </row>
    <row r="34" spans="13:18" ht="14.25">
      <c r="M34" s="62" t="s">
        <v>81</v>
      </c>
      <c r="Q34" s="54">
        <v>360</v>
      </c>
      <c r="R34" s="58" t="e">
        <f>SUM(K7 * D7)</f>
        <v>#VALUE!</v>
      </c>
    </row>
    <row r="35" spans="13:18" ht="14.25">
      <c r="M35" s="62" t="s">
        <v>97</v>
      </c>
      <c r="Q35" s="54">
        <v>38</v>
      </c>
      <c r="R35" s="58" t="e">
        <f>SUM(K8 * D8)</f>
        <v>#VALUE!</v>
      </c>
    </row>
    <row r="36" spans="13:18" ht="14.25">
      <c r="M36" s="62" t="s">
        <v>130</v>
      </c>
      <c r="Q36" s="50">
        <v>0</v>
      </c>
      <c r="R36" s="58" t="e">
        <f>SUM(K9 * D9)</f>
        <v>#VALUE!</v>
      </c>
    </row>
    <row r="37" spans="13:18" ht="14.25">
      <c r="M37" s="62" t="s">
        <v>71</v>
      </c>
      <c r="Q37" s="50">
        <v>0</v>
      </c>
      <c r="R37" s="58" t="e">
        <f>SUM(K10 * D10)</f>
        <v>#VALUE!</v>
      </c>
    </row>
    <row r="38" spans="13:18" ht="14.25">
      <c r="M38" s="62" t="s">
        <v>94</v>
      </c>
      <c r="Q38" s="50">
        <v>0</v>
      </c>
      <c r="R38" s="58" t="e">
        <f>SUM(K11 * D11)</f>
        <v>#VALUE!</v>
      </c>
    </row>
    <row r="39" spans="13:18" ht="14.25">
      <c r="M39" s="62" t="s">
        <v>134</v>
      </c>
      <c r="Q39" s="55">
        <v>105</v>
      </c>
      <c r="R39" s="58" t="e">
        <f>SUM(K12 * D12)</f>
        <v>#VALUE!</v>
      </c>
    </row>
    <row r="40" spans="13:18" ht="14.25">
      <c r="M40" s="62" t="s">
        <v>101</v>
      </c>
      <c r="Q40" s="50">
        <v>0</v>
      </c>
      <c r="R40" s="58" t="e">
        <f>SUM(K13 * D13)</f>
        <v>#VALUE!</v>
      </c>
    </row>
    <row r="41" spans="13:18" ht="14.25">
      <c r="M41" s="62" t="s">
        <v>92</v>
      </c>
      <c r="Q41" s="50">
        <v>0</v>
      </c>
      <c r="R41" s="58" t="e">
        <f>SUM(K14 * D14)</f>
        <v>#VALUE!</v>
      </c>
    </row>
    <row r="42" spans="13:18" ht="14.25">
      <c r="M42" s="62" t="s">
        <v>88</v>
      </c>
      <c r="Q42" s="56">
        <v>550</v>
      </c>
      <c r="R42" s="58" t="e">
        <f>SUM(K15 * D15)</f>
        <v>#VALUE!</v>
      </c>
    </row>
    <row r="43" spans="13:18" ht="14.25">
      <c r="M43" s="62" t="s">
        <v>83</v>
      </c>
      <c r="Q43" s="50">
        <v>0</v>
      </c>
      <c r="R43" s="58" t="e">
        <f>SUM(K16 * D16)</f>
        <v>#VALUE!</v>
      </c>
    </row>
    <row r="44" spans="13:18" ht="14.25">
      <c r="M44" s="62" t="s">
        <v>90</v>
      </c>
      <c r="Q44" s="50">
        <v>0</v>
      </c>
      <c r="R44" s="58" t="e">
        <f>SUM(K17 * D17)</f>
        <v>#VALUE!</v>
      </c>
    </row>
    <row r="45" spans="13:18" ht="14.25">
      <c r="M45" s="62" t="s">
        <v>81</v>
      </c>
      <c r="Q45" s="50">
        <v>0</v>
      </c>
      <c r="R45" s="58" t="e">
        <f>SUM(K18 * D18)</f>
        <v>#VALUE!</v>
      </c>
    </row>
    <row r="46" spans="13:18" ht="14.25">
      <c r="Q46" s="50">
        <v>0</v>
      </c>
      <c r="R46" s="58" t="e">
        <f>SUM(K19 * D19)</f>
        <v>#VALUE!</v>
      </c>
    </row>
    <row r="47" spans="13:18" ht="14.25">
      <c r="Q47" s="50">
        <v>0</v>
      </c>
      <c r="R47" s="58" t="e">
        <f>SUM(K20 * D20)</f>
        <v>#VALUE!</v>
      </c>
    </row>
    <row r="48" spans="13:18" ht="14.25">
      <c r="Q48" s="50">
        <v>0</v>
      </c>
      <c r="R48" s="58" t="e">
        <f>SUM(K21 * D21)</f>
        <v>#VALUE!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3762-69A8-4873-80E9-CAA81A9D5054}">
  <dimension ref="A1:M21"/>
  <sheetViews>
    <sheetView workbookViewId="0">
      <selection sqref="A1:M21"/>
    </sheetView>
  </sheetViews>
  <sheetFormatPr defaultRowHeight="15"/>
  <cols>
    <col min="2" max="2" width="11.42578125" customWidth="1"/>
    <col min="3" max="3" width="12" customWidth="1"/>
    <col min="5" max="5" width="14.7109375" customWidth="1"/>
    <col min="6" max="6" width="13.85546875" customWidth="1"/>
    <col min="7" max="7" width="16.140625" customWidth="1"/>
    <col min="8" max="8" width="9.5703125" customWidth="1"/>
    <col min="9" max="9" width="11.85546875" customWidth="1"/>
    <col min="10" max="10" width="12" style="61" customWidth="1"/>
    <col min="11" max="11" width="15" customWidth="1"/>
    <col min="12" max="12" width="11.85546875" customWidth="1"/>
    <col min="13" max="13" width="11.5703125" customWidth="1"/>
  </cols>
  <sheetData>
    <row r="1" spans="1:13">
      <c r="A1" s="67" t="s">
        <v>135</v>
      </c>
      <c r="B1" s="68" t="s">
        <v>136</v>
      </c>
      <c r="C1" s="68" t="s">
        <v>137</v>
      </c>
      <c r="D1" s="69" t="s">
        <v>138</v>
      </c>
      <c r="E1" s="70" t="s">
        <v>139</v>
      </c>
      <c r="F1" s="70" t="s">
        <v>140</v>
      </c>
      <c r="G1" s="70" t="s">
        <v>141</v>
      </c>
      <c r="H1" s="71" t="s">
        <v>142</v>
      </c>
      <c r="I1" s="72" t="s">
        <v>143</v>
      </c>
      <c r="J1" s="78" t="s">
        <v>144</v>
      </c>
      <c r="K1" s="74" t="s">
        <v>145</v>
      </c>
      <c r="L1" s="75" t="s">
        <v>146</v>
      </c>
      <c r="M1" s="77" t="s">
        <v>147</v>
      </c>
    </row>
    <row r="2" spans="1:13">
      <c r="A2" s="65" t="s">
        <v>5</v>
      </c>
      <c r="B2" s="28" t="s">
        <v>7</v>
      </c>
      <c r="C2" s="28" t="s">
        <v>8</v>
      </c>
      <c r="D2" s="63" t="str">
        <f>VLOOKUP(Sheet1!B6,Sheet1!B6:E24,4,0)</f>
        <v>3 </v>
      </c>
      <c r="E2" s="47" t="str">
        <f>VLOOKUP(B2,Sheet2!$A$2:$B$11,2,FALSE)</f>
        <v>Laptop Pro X </v>
      </c>
      <c r="F2" s="31" t="str">
        <f>VLOOKUP(B2,Sheet2!$A$2:$C$11,3,FALSE)</f>
        <v>Electronics </v>
      </c>
      <c r="G2" s="31" t="str">
        <f>VLOOKUP(C2,Sheet3!$A$2:$B$7,2,FALSE)</f>
        <v>TechCorp GmbH </v>
      </c>
      <c r="H2" s="29" t="str">
        <f>VLOOKUP(C2,Sheet3!$A$2:$C$7,3,FALSE)</f>
        <v>North </v>
      </c>
      <c r="I2" s="48" t="str">
        <f>VLOOKUP(B2,Sheet2!$A$2:$D$11,4,FALSE)</f>
        <v>1,200 </v>
      </c>
      <c r="J2" s="79" t="str" cm="1">
        <f t="array" ref="J2">_xlfn._xlws.FILTER(Sheet4!D:D,(Sheet4!B:B=B2)*(Sheet4!C:C=C2),0)</f>
        <v>1,050 </v>
      </c>
      <c r="K2" s="62" t="str">
        <f>IF(J2=0,I2,J2)</f>
        <v>1,050 </v>
      </c>
      <c r="L2" s="61">
        <f>IFERROR(_xlfn.NUMBERVALUE(SUBSTITUTE(K2, CHAR(160), "")) * _xlfn.NUMBERVALUE(SUBSTITUTE(D2, CHAR(160), "")), 0)</f>
        <v>3150</v>
      </c>
      <c r="M2" s="61">
        <f t="shared" ref="M2:M21" si="0">IFERROR(_xlfn.NUMBERVALUE(SUBSTITUTE(D2, CHAR(160), "")) * _xlfn.NUMBERVALUE(SUBSTITUTE(K2, CHAR(160), "")), 0)</f>
        <v>3150</v>
      </c>
    </row>
    <row r="3" spans="1:13" ht="14.25">
      <c r="A3" s="66" t="str">
        <f>VLOOKUP(Sheet1!A7,Sheet1!A7:A25,1,FALSE)</f>
        <v>1002 </v>
      </c>
      <c r="B3" s="30" t="str">
        <f>VLOOKUP(Sheet1!A7,Sheet1!A7:C25,3,FALSE)</f>
        <v>P002 </v>
      </c>
      <c r="C3" s="30" t="str">
        <f>VLOOKUP(Sheet1!A7,Sheet1!A7:D25,4,0)</f>
        <v>C002 </v>
      </c>
      <c r="D3" s="63" t="str">
        <f>VLOOKUP(Sheet1!B7,Sheet1!B7:E25,4,0)</f>
        <v>15 </v>
      </c>
      <c r="E3" s="47" t="str">
        <f>VLOOKUP(B3,Sheet2!$A$2:$B$11,2,FALSE)</f>
        <v>Wireless Mouse </v>
      </c>
      <c r="F3" s="31" t="str">
        <f>VLOOKUP(B3,Sheet2!$A$2:$C$11,3,FALSE)</f>
        <v>Electronics </v>
      </c>
      <c r="G3" s="31" t="str">
        <f>VLOOKUP(C3,Sheet3!$A$2:$B$7,2,FALSE)</f>
        <v>BrightSales Ltd </v>
      </c>
      <c r="H3" s="29" t="str">
        <f>VLOOKUP(C3,Sheet3!$A$2:$C$7,3,FALSE)</f>
        <v>South </v>
      </c>
      <c r="I3" s="48" t="str">
        <f>VLOOKUP(B3,Sheet2!$A$2:$D$11,4,FALSE)</f>
        <v>45 </v>
      </c>
      <c r="J3" s="79" cm="1">
        <f t="array" ref="J3">_xlfn._xlws.FILTER(Sheet4!D:D,(Sheet4!B:B=B3)*(Sheet4!C:C=C3),0)</f>
        <v>0</v>
      </c>
      <c r="K3" s="62" t="str">
        <f>IF(J3=0,I3,J3)</f>
        <v>45 </v>
      </c>
      <c r="L3" s="61">
        <f t="shared" ref="L3:L21" si="1">IFERROR(_xlfn.NUMBERVALUE(SUBSTITUTE(K3, CHAR(160), "")) * _xlfn.NUMBERVALUE(SUBSTITUTE(D3, CHAR(160), "")), 0)</f>
        <v>675</v>
      </c>
      <c r="M3" s="61">
        <f t="shared" si="0"/>
        <v>675</v>
      </c>
    </row>
    <row r="4" spans="1:13">
      <c r="A4" s="66" t="str">
        <f>VLOOKUP(Sheet1!A8,Sheet1!A8:A26,1,FALSE)</f>
        <v>1003 </v>
      </c>
      <c r="B4" s="30" t="str">
        <f>VLOOKUP(Sheet1!A8,Sheet1!A8:C26,3,FALSE)</f>
        <v>P001 </v>
      </c>
      <c r="C4" s="30" t="str">
        <f>VLOOKUP(Sheet1!A8,Sheet1!A8:D26,4,0)</f>
        <v>C003 </v>
      </c>
      <c r="D4" s="63" t="str">
        <f>VLOOKUP(Sheet1!B8,Sheet1!B8:E26,4,0)</f>
        <v>2 </v>
      </c>
      <c r="E4" s="47" t="str">
        <f>VLOOKUP(B4,Sheet2!$A$2:$B$11,2,FALSE)</f>
        <v>Laptop Pro X </v>
      </c>
      <c r="F4" s="31" t="str">
        <f>VLOOKUP(B4,Sheet2!$A$2:$C$11,3,FALSE)</f>
        <v>Electronics </v>
      </c>
      <c r="G4" s="31" t="str">
        <f>VLOOKUP(C4,Sheet3!$A$2:$B$7,2,FALSE)</f>
        <v>Nexus Retail </v>
      </c>
      <c r="H4" s="29" t="str">
        <f>VLOOKUP(C4,Sheet3!$A$2:$C$7,3,FALSE)</f>
        <v>East </v>
      </c>
      <c r="I4" s="48" t="str">
        <f>VLOOKUP(B4,Sheet2!$A$2:$D$11,4,FALSE)</f>
        <v>1,200 </v>
      </c>
      <c r="J4" s="79" t="str" cm="1">
        <f t="array" ref="J4">_xlfn._xlws.FILTER(Sheet4!D:D,(Sheet4!B:B=B4)*(Sheet4!C:C=C4),0)</f>
        <v>1,100 </v>
      </c>
      <c r="K4" s="62" t="str">
        <f t="shared" ref="K3:K21" si="2">IF(J4=0,I4,J4)</f>
        <v>1,100 </v>
      </c>
      <c r="L4" s="61">
        <f t="shared" si="1"/>
        <v>2200</v>
      </c>
      <c r="M4" s="61">
        <f t="shared" si="0"/>
        <v>2200</v>
      </c>
    </row>
    <row r="5" spans="1:13" ht="14.25">
      <c r="A5" s="66" t="str">
        <f>VLOOKUP(Sheet1!A9,Sheet1!A9:A27,1,FALSE)</f>
        <v>1004 </v>
      </c>
      <c r="B5" s="30" t="str">
        <f>VLOOKUP(Sheet1!A9,Sheet1!A9:C27,3,FALSE)</f>
        <v>P005 </v>
      </c>
      <c r="C5" s="30" t="str">
        <f>VLOOKUP(Sheet1!A9,Sheet1!A9:D27,4,0)</f>
        <v>C001 </v>
      </c>
      <c r="D5" s="63" t="str">
        <f>VLOOKUP(Sheet1!B9,Sheet1!B9:E27,4,0)</f>
        <v>8 </v>
      </c>
      <c r="E5" s="47" t="str">
        <f>VLOOKUP(B5,Sheet2!$A$2:$B$11,2,FALSE)</f>
        <v>Headphones </v>
      </c>
      <c r="F5" s="31" t="str">
        <f>VLOOKUP(B5,Sheet2!$A$2:$C$11,3,FALSE)</f>
        <v>Electronics </v>
      </c>
      <c r="G5" s="31" t="str">
        <f>VLOOKUP(C5,Sheet3!$A$2:$B$7,2,FALSE)</f>
        <v>TechCorp GmbH </v>
      </c>
      <c r="H5" s="29" t="str">
        <f>VLOOKUP(C5,Sheet3!$A$2:$C$7,3,FALSE)</f>
        <v>North </v>
      </c>
      <c r="I5" s="48" t="str">
        <f>VLOOKUP(B5,Sheet2!$A$2:$D$11,4,FALSE)</f>
        <v>120 </v>
      </c>
      <c r="J5" s="79" cm="1">
        <f t="array" ref="J5">_xlfn._xlws.FILTER(Sheet4!D:D,(Sheet4!B:B=B5)*(Sheet4!C:C=C5),0)</f>
        <v>0</v>
      </c>
      <c r="K5" s="62" t="str">
        <f t="shared" si="2"/>
        <v>120 </v>
      </c>
      <c r="L5" s="61">
        <f t="shared" si="1"/>
        <v>960</v>
      </c>
      <c r="M5" s="61">
        <f t="shared" si="0"/>
        <v>960</v>
      </c>
    </row>
    <row r="6" spans="1:13" ht="14.25">
      <c r="A6" s="66" t="str">
        <f>VLOOKUP(Sheet1!A10,Sheet1!A10:A28,1,FALSE)</f>
        <v>1005 </v>
      </c>
      <c r="B6" s="30" t="str">
        <f>VLOOKUP(Sheet1!A10,Sheet1!A10:C28,3,FALSE)</f>
        <v>P003 </v>
      </c>
      <c r="C6" s="30" t="str">
        <f>VLOOKUP(Sheet1!A10,Sheet1!A10:D28,4,0)</f>
        <v>C004 </v>
      </c>
      <c r="D6" s="63" t="str">
        <f>VLOOKUP(Sheet1!B10,Sheet1!B10:E28,4,0)</f>
        <v>4 </v>
      </c>
      <c r="E6" s="47" t="str">
        <f>VLOOKUP(B6,Sheet2!$A$2:$B$11,2,FALSE)</f>
        <v>Standing Desk </v>
      </c>
      <c r="F6" s="31" t="str">
        <f>VLOOKUP(B6,Sheet2!$A$2:$C$11,3,FALSE)</f>
        <v>Furniture </v>
      </c>
      <c r="G6" s="31" t="str">
        <f>VLOOKUP(C6,Sheet3!$A$2:$B$7,2,FALSE)</f>
        <v>Alpine Supplies </v>
      </c>
      <c r="H6" s="29" t="str">
        <f>VLOOKUP(C6,Sheet3!$A$2:$C$7,3,FALSE)</f>
        <v>West </v>
      </c>
      <c r="I6" s="48" t="str">
        <f>VLOOKUP(B6,Sheet2!$A$2:$D$11,4,FALSE)</f>
        <v>600 </v>
      </c>
      <c r="J6" s="79" cm="1">
        <f t="array" ref="J6">_xlfn._xlws.FILTER(Sheet4!D:D,(Sheet4!B:B=B6)*(Sheet4!C:C=C6),0)</f>
        <v>0</v>
      </c>
      <c r="K6" s="62" t="str">
        <f t="shared" si="2"/>
        <v>600 </v>
      </c>
      <c r="L6" s="61">
        <f t="shared" si="1"/>
        <v>2400</v>
      </c>
      <c r="M6" s="61">
        <f t="shared" si="0"/>
        <v>2400</v>
      </c>
    </row>
    <row r="7" spans="1:13">
      <c r="A7" s="66" t="str">
        <f>VLOOKUP(Sheet1!A11,Sheet1!A11:A29,1,FALSE)</f>
        <v>1006 </v>
      </c>
      <c r="B7" s="30" t="str">
        <f>VLOOKUP(Sheet1!A11,Sheet1!A11:C29,3,FALSE)</f>
        <v>P007 </v>
      </c>
      <c r="C7" s="30" t="str">
        <f>VLOOKUP(Sheet1!A11,Sheet1!A11:D29,4,0)</f>
        <v>C002 </v>
      </c>
      <c r="D7" s="63" t="str">
        <f>VLOOKUP(Sheet1!B11,Sheet1!B11:E29,4,0)</f>
        <v>5 </v>
      </c>
      <c r="E7" s="47" t="str">
        <f>VLOOKUP(B7,Sheet2!$A$2:$B$11,2,FALSE)</f>
        <v>Monitor 27" </v>
      </c>
      <c r="F7" s="31" t="str">
        <f>VLOOKUP(B7,Sheet2!$A$2:$C$11,3,FALSE)</f>
        <v>Electronics </v>
      </c>
      <c r="G7" s="31" t="str">
        <f>VLOOKUP(C7,Sheet3!$A$2:$B$7,2,FALSE)</f>
        <v>BrightSales Ltd </v>
      </c>
      <c r="H7" s="29" t="str">
        <f>VLOOKUP(C7,Sheet3!$A$2:$C$7,3,FALSE)</f>
        <v>South </v>
      </c>
      <c r="I7" s="48" t="str">
        <f>VLOOKUP(B7,Sheet2!$A$2:$D$11,4,FALSE)</f>
        <v>400 </v>
      </c>
      <c r="J7" s="79" t="str" cm="1">
        <f t="array" ref="J7">_xlfn._xlws.FILTER(Sheet4!D:D,(Sheet4!B:B=B7)*(Sheet4!C:C=C7),0)</f>
        <v>360 </v>
      </c>
      <c r="K7" s="62" t="str">
        <f t="shared" si="2"/>
        <v>360 </v>
      </c>
      <c r="L7" s="61">
        <f t="shared" si="1"/>
        <v>1800</v>
      </c>
      <c r="M7" s="61">
        <f t="shared" si="0"/>
        <v>1800</v>
      </c>
    </row>
    <row r="8" spans="1:13">
      <c r="A8" s="66" t="str">
        <f>VLOOKUP(Sheet1!A12,Sheet1!A12:A30,1,FALSE)</f>
        <v>1007 </v>
      </c>
      <c r="B8" s="30" t="str">
        <f>VLOOKUP(Sheet1!A12,Sheet1!A12:C30,3,FALSE)</f>
        <v>P002 </v>
      </c>
      <c r="C8" s="30" t="str">
        <f>VLOOKUP(Sheet1!A12,Sheet1!A12:D30,4,0)</f>
        <v>C005 </v>
      </c>
      <c r="D8" s="63" t="str">
        <f>VLOOKUP(Sheet1!B12,Sheet1!B12:E30,4,0)</f>
        <v>20 </v>
      </c>
      <c r="E8" s="47" t="str">
        <f>VLOOKUP(B8,Sheet2!$A$2:$B$11,2,FALSE)</f>
        <v>Wireless Mouse </v>
      </c>
      <c r="F8" s="31" t="str">
        <f>VLOOKUP(B8,Sheet2!$A$2:$C$11,3,FALSE)</f>
        <v>Electronics </v>
      </c>
      <c r="G8" s="31" t="str">
        <f>VLOOKUP(C8,Sheet3!$A$2:$B$7,2,FALSE)</f>
        <v>Metro Office </v>
      </c>
      <c r="H8" s="29" t="str">
        <f>VLOOKUP(C8,Sheet3!$A$2:$C$7,3,FALSE)</f>
        <v>North </v>
      </c>
      <c r="I8" s="48" t="str">
        <f>VLOOKUP(B8,Sheet2!$A$2:$D$11,4,FALSE)</f>
        <v>45 </v>
      </c>
      <c r="J8" s="79" t="str" cm="1">
        <f t="array" ref="J8">_xlfn._xlws.FILTER(Sheet4!D:D,(Sheet4!B:B=B8)*(Sheet4!C:C=C8),0)</f>
        <v>38 </v>
      </c>
      <c r="K8" s="62" t="str">
        <f t="shared" si="2"/>
        <v>38 </v>
      </c>
      <c r="L8" s="61">
        <f t="shared" si="1"/>
        <v>760</v>
      </c>
      <c r="M8" s="61">
        <f t="shared" si="0"/>
        <v>760</v>
      </c>
    </row>
    <row r="9" spans="1:13" ht="14.25">
      <c r="A9" s="66" t="str">
        <f>VLOOKUP(Sheet1!A13,Sheet1!A13:A31,1,FALSE)</f>
        <v>1008 </v>
      </c>
      <c r="B9" s="30" t="str">
        <f>VLOOKUP(Sheet1!A13,Sheet1!A13:C31,3,FALSE)</f>
        <v>P004 </v>
      </c>
      <c r="C9" s="30" t="str">
        <f>VLOOKUP(Sheet1!A13,Sheet1!A13:D31,4,0)</f>
        <v>C003 </v>
      </c>
      <c r="D9" s="63" t="str">
        <f>VLOOKUP(Sheet1!B13,Sheet1!B13:E31,4,0)</f>
        <v>6 </v>
      </c>
      <c r="E9" s="47" t="str">
        <f>VLOOKUP(B9,Sheet2!$A$2:$B$11,2,FALSE)</f>
        <v>Office Chair </v>
      </c>
      <c r="F9" s="31" t="str">
        <f>VLOOKUP(B9,Sheet2!$A$2:$C$11,3,FALSE)</f>
        <v>Furniture </v>
      </c>
      <c r="G9" s="31" t="str">
        <f>VLOOKUP(C9,Sheet3!$A$2:$B$7,2,FALSE)</f>
        <v>Nexus Retail </v>
      </c>
      <c r="H9" s="29" t="str">
        <f>VLOOKUP(C9,Sheet3!$A$2:$C$7,3,FALSE)</f>
        <v>East </v>
      </c>
      <c r="I9" s="48" t="str">
        <f>VLOOKUP(B9,Sheet2!$A$2:$D$11,4,FALSE)</f>
        <v>250 </v>
      </c>
      <c r="J9" s="79" cm="1">
        <f t="array" ref="J9">_xlfn._xlws.FILTER(Sheet4!D:D,(Sheet4!B:B=B9)*(Sheet4!C:C=C9),0)</f>
        <v>0</v>
      </c>
      <c r="K9" s="62" t="str">
        <f t="shared" si="2"/>
        <v>250 </v>
      </c>
      <c r="L9" s="61">
        <f t="shared" si="1"/>
        <v>1500</v>
      </c>
      <c r="M9" s="61">
        <f t="shared" si="0"/>
        <v>1500</v>
      </c>
    </row>
    <row r="10" spans="1:13" ht="14.25">
      <c r="A10" s="66" t="str">
        <f>VLOOKUP(Sheet1!A14,Sheet1!A14:A32,1,FALSE)</f>
        <v>1009 </v>
      </c>
      <c r="B10" s="30" t="str">
        <f>VLOOKUP(Sheet1!A14,Sheet1!A14:C32,3,FALSE)</f>
        <v>P001 </v>
      </c>
      <c r="C10" s="30" t="str">
        <f>VLOOKUP(Sheet1!A14,Sheet1!A14:D32,4,0)</f>
        <v>C006 </v>
      </c>
      <c r="D10" s="63" t="str">
        <f>VLOOKUP(Sheet1!B14,Sheet1!B14:E32,4,0)</f>
        <v>1 </v>
      </c>
      <c r="E10" s="47" t="str">
        <f>VLOOKUP(B10,Sheet2!$A$2:$B$11,2,FALSE)</f>
        <v>Laptop Pro X </v>
      </c>
      <c r="F10" s="31" t="str">
        <f>VLOOKUP(B10,Sheet2!$A$2:$C$11,3,FALSE)</f>
        <v>Electronics </v>
      </c>
      <c r="G10" s="31" t="str">
        <f>VLOOKUP(C10,Sheet3!$A$2:$B$7,2,FALSE)</f>
        <v>Delta Systems </v>
      </c>
      <c r="H10" s="29" t="str">
        <f>VLOOKUP(C10,Sheet3!$A$2:$C$7,3,FALSE)</f>
        <v>South </v>
      </c>
      <c r="I10" s="48" t="str">
        <f>VLOOKUP(B10,Sheet2!$A$2:$D$11,4,FALSE)</f>
        <v>1,200 </v>
      </c>
      <c r="J10" s="79" cm="1">
        <f t="array" ref="J10">_xlfn._xlws.FILTER(Sheet4!D:D,(Sheet4!B:B=B10)*(Sheet4!C:C=C10),0)</f>
        <v>0</v>
      </c>
      <c r="K10" s="62" t="str">
        <f t="shared" si="2"/>
        <v>1,200 </v>
      </c>
      <c r="L10" s="61">
        <f t="shared" si="1"/>
        <v>1200</v>
      </c>
      <c r="M10" s="61">
        <f t="shared" si="0"/>
        <v>1200</v>
      </c>
    </row>
    <row r="11" spans="1:13" ht="14.25">
      <c r="A11" s="66" t="str">
        <f>VLOOKUP(Sheet1!A15,Sheet1!A15:A33,1,FALSE)</f>
        <v>1010 </v>
      </c>
      <c r="B11" s="30" t="str">
        <f>VLOOKUP(Sheet1!A15,Sheet1!A15:C33,3,FALSE)</f>
        <v>P008 </v>
      </c>
      <c r="C11" s="30" t="str">
        <f>VLOOKUP(Sheet1!A15,Sheet1!A15:D33,4,0)</f>
        <v>C001 </v>
      </c>
      <c r="D11" s="63" t="str">
        <f>VLOOKUP(Sheet1!B15,Sheet1!B15:E33,4,0)</f>
        <v>10 </v>
      </c>
      <c r="E11" s="47" t="str">
        <f>VLOOKUP(B11,Sheet2!$A$2:$B$11,2,FALSE)</f>
        <v>Whiteboard </v>
      </c>
      <c r="F11" s="31" t="str">
        <f>VLOOKUP(B11,Sheet2!$A$2:$C$11,3,FALSE)</f>
        <v>Office Supplies </v>
      </c>
      <c r="G11" s="31" t="str">
        <f>VLOOKUP(C11,Sheet3!$A$2:$B$7,2,FALSE)</f>
        <v>TechCorp GmbH </v>
      </c>
      <c r="H11" s="29" t="str">
        <f>VLOOKUP(C11,Sheet3!$A$2:$C$7,3,FALSE)</f>
        <v>North </v>
      </c>
      <c r="I11" s="48" t="str">
        <f>VLOOKUP(B11,Sheet2!$A$2:$D$11,4,FALSE)</f>
        <v>80 </v>
      </c>
      <c r="J11" s="79" cm="1">
        <f t="array" ref="J11">_xlfn._xlws.FILTER(Sheet4!D:D,(Sheet4!B:B=B11)*(Sheet4!C:C=C11),0)</f>
        <v>0</v>
      </c>
      <c r="K11" s="62" t="str">
        <f t="shared" si="2"/>
        <v>80 </v>
      </c>
      <c r="L11" s="61">
        <f t="shared" si="1"/>
        <v>800</v>
      </c>
      <c r="M11" s="61">
        <f t="shared" si="0"/>
        <v>800</v>
      </c>
    </row>
    <row r="12" spans="1:13">
      <c r="A12" s="66" t="str">
        <f>VLOOKUP(Sheet1!A16,Sheet1!A16:A34,1,FALSE)</f>
        <v>1011 </v>
      </c>
      <c r="B12" s="30" t="str">
        <f>VLOOKUP(Sheet1!A16,Sheet1!A16:C34,3,FALSE)</f>
        <v>P005 </v>
      </c>
      <c r="C12" s="30" t="str">
        <f>VLOOKUP(Sheet1!A16,Sheet1!A16:D34,4,0)</f>
        <v>C004 </v>
      </c>
      <c r="D12" s="63" t="str">
        <f>VLOOKUP(Sheet1!B16,Sheet1!B16:E34,4,0)</f>
        <v>12 </v>
      </c>
      <c r="E12" s="47" t="str">
        <f>VLOOKUP(B12,Sheet2!$A$2:$B$11,2,FALSE)</f>
        <v>Headphones </v>
      </c>
      <c r="F12" s="31" t="str">
        <f>VLOOKUP(B12,Sheet2!$A$2:$C$11,3,FALSE)</f>
        <v>Electronics </v>
      </c>
      <c r="G12" s="31" t="str">
        <f>VLOOKUP(C12,Sheet3!$A$2:$B$7,2,FALSE)</f>
        <v>Alpine Supplies </v>
      </c>
      <c r="H12" s="29" t="str">
        <f>VLOOKUP(C12,Sheet3!$A$2:$C$7,3,FALSE)</f>
        <v>West </v>
      </c>
      <c r="I12" s="48" t="str">
        <f>VLOOKUP(B12,Sheet2!$A$2:$D$11,4,FALSE)</f>
        <v>120 </v>
      </c>
      <c r="J12" s="79" t="str" cm="1">
        <f t="array" ref="J12">_xlfn._xlws.FILTER(Sheet4!D:D,(Sheet4!B:B=B12)*(Sheet4!C:C=C12),0)</f>
        <v>105 </v>
      </c>
      <c r="K12" s="62" t="str">
        <f t="shared" si="2"/>
        <v>105 </v>
      </c>
      <c r="L12" s="61">
        <f t="shared" si="1"/>
        <v>1260</v>
      </c>
      <c r="M12" s="61">
        <f t="shared" si="0"/>
        <v>1260</v>
      </c>
    </row>
    <row r="13" spans="1:13" ht="14.25">
      <c r="A13" s="66" t="str">
        <f>VLOOKUP(Sheet1!A17,Sheet1!A17:A35,1,FALSE)</f>
        <v>1012 </v>
      </c>
      <c r="B13" s="30" t="str">
        <f>VLOOKUP(Sheet1!A17,Sheet1!A17:C35,3,FALSE)</f>
        <v>P009 </v>
      </c>
      <c r="C13" s="30" t="str">
        <f>VLOOKUP(Sheet1!A17,Sheet1!A17:D35,4,0)</f>
        <v>C002 </v>
      </c>
      <c r="D13" s="63" t="str">
        <f>VLOOKUP(Sheet1!B17,Sheet1!B17:E35,4,0)</f>
        <v>40 </v>
      </c>
      <c r="E13" s="47" t="str">
        <f>VLOOKUP(B13,Sheet2!$A$2:$B$11,2,FALSE)</f>
        <v>Printer Ink </v>
      </c>
      <c r="F13" s="31" t="str">
        <f>VLOOKUP(B13,Sheet2!$A$2:$C$11,3,FALSE)</f>
        <v>Office Supplies </v>
      </c>
      <c r="G13" s="31" t="str">
        <f>VLOOKUP(C13,Sheet3!$A$2:$B$7,2,FALSE)</f>
        <v>BrightSales Ltd </v>
      </c>
      <c r="H13" s="29" t="str">
        <f>VLOOKUP(C13,Sheet3!$A$2:$C$7,3,FALSE)</f>
        <v>South </v>
      </c>
      <c r="I13" s="48" t="str">
        <f>VLOOKUP(B13,Sheet2!$A$2:$D$11,4,FALSE)</f>
        <v>25 </v>
      </c>
      <c r="J13" s="79" cm="1">
        <f t="array" ref="J13">_xlfn._xlws.FILTER(Sheet4!D:D,(Sheet4!B:B=B13)*(Sheet4!C:C=C13),0)</f>
        <v>0</v>
      </c>
      <c r="K13" s="62" t="str">
        <f t="shared" si="2"/>
        <v>25 </v>
      </c>
      <c r="L13" s="61">
        <f t="shared" si="1"/>
        <v>1000</v>
      </c>
      <c r="M13" s="61">
        <f t="shared" si="0"/>
        <v>1000</v>
      </c>
    </row>
    <row r="14" spans="1:13" ht="14.25">
      <c r="A14" s="66" t="str">
        <f>VLOOKUP(Sheet1!A18,Sheet1!A18:A36,1,FALSE)</f>
        <v>1013 </v>
      </c>
      <c r="B14" s="30" t="str">
        <f>VLOOKUP(Sheet1!A18,Sheet1!A18:C36,3,FALSE)</f>
        <v>P007 </v>
      </c>
      <c r="C14" s="30" t="str">
        <f>VLOOKUP(Sheet1!A18,Sheet1!A18:D36,4,0)</f>
        <v>C005 </v>
      </c>
      <c r="D14" s="63" t="str">
        <f>VLOOKUP(Sheet1!B18,Sheet1!B18:E36,4,0)</f>
        <v>3 </v>
      </c>
      <c r="E14" s="47" t="str">
        <f>VLOOKUP(B14,Sheet2!$A$2:$B$11,2,FALSE)</f>
        <v>Monitor 27" </v>
      </c>
      <c r="F14" s="31" t="str">
        <f>VLOOKUP(B14,Sheet2!$A$2:$C$11,3,FALSE)</f>
        <v>Electronics </v>
      </c>
      <c r="G14" s="31" t="str">
        <f>VLOOKUP(C14,Sheet3!$A$2:$B$7,2,FALSE)</f>
        <v>Metro Office </v>
      </c>
      <c r="H14" s="29" t="str">
        <f>VLOOKUP(C14,Sheet3!$A$2:$C$7,3,FALSE)</f>
        <v>North </v>
      </c>
      <c r="I14" s="48" t="str">
        <f>VLOOKUP(B14,Sheet2!$A$2:$D$11,4,FALSE)</f>
        <v>400 </v>
      </c>
      <c r="J14" s="79" cm="1">
        <f t="array" ref="J14">_xlfn._xlws.FILTER(Sheet4!D:D,(Sheet4!B:B=B14)*(Sheet4!C:C=C14),0)</f>
        <v>0</v>
      </c>
      <c r="K14" s="62" t="str">
        <f t="shared" si="2"/>
        <v>400 </v>
      </c>
      <c r="L14" s="61">
        <f t="shared" si="1"/>
        <v>1200</v>
      </c>
      <c r="M14" s="61">
        <f t="shared" si="0"/>
        <v>1200</v>
      </c>
    </row>
    <row r="15" spans="1:13">
      <c r="A15" s="66" t="str">
        <f>VLOOKUP(Sheet1!A19,Sheet1!A19:A37,1,FALSE)</f>
        <v>1014 </v>
      </c>
      <c r="B15" s="30" t="str">
        <f>VLOOKUP(Sheet1!A19,Sheet1!A19:C37,3,FALSE)</f>
        <v>P003 </v>
      </c>
      <c r="C15" s="30" t="str">
        <f>VLOOKUP(Sheet1!A19,Sheet1!A19:D37,4,0)</f>
        <v>C006 </v>
      </c>
      <c r="D15" s="63" t="str">
        <f>VLOOKUP(Sheet1!B19,Sheet1!B19:E37,4,0)</f>
        <v>2 </v>
      </c>
      <c r="E15" s="47" t="str">
        <f>VLOOKUP(B15,Sheet2!$A$2:$B$11,2,FALSE)</f>
        <v>Standing Desk </v>
      </c>
      <c r="F15" s="31" t="str">
        <f>VLOOKUP(B15,Sheet2!$A$2:$C$11,3,FALSE)</f>
        <v>Furniture </v>
      </c>
      <c r="G15" s="31" t="str">
        <f>VLOOKUP(C15,Sheet3!$A$2:$B$7,2,FALSE)</f>
        <v>Delta Systems </v>
      </c>
      <c r="H15" s="29" t="str">
        <f>VLOOKUP(C15,Sheet3!$A$2:$C$7,3,FALSE)</f>
        <v>South </v>
      </c>
      <c r="I15" s="48" t="str">
        <f>VLOOKUP(B15,Sheet2!$A$2:$D$11,4,FALSE)</f>
        <v>600 </v>
      </c>
      <c r="J15" s="79" t="str" cm="1">
        <f t="array" ref="J15">_xlfn._xlws.FILTER(Sheet4!D:D,(Sheet4!B:B=B15)*(Sheet4!C:C=C15),0)</f>
        <v>550 </v>
      </c>
      <c r="K15" s="62" t="str">
        <f t="shared" si="2"/>
        <v>550 </v>
      </c>
      <c r="L15" s="61">
        <f t="shared" si="1"/>
        <v>1100</v>
      </c>
      <c r="M15" s="61">
        <f t="shared" si="0"/>
        <v>1100</v>
      </c>
    </row>
    <row r="16" spans="1:13" ht="14.25">
      <c r="A16" s="66" t="str">
        <f>VLOOKUP(Sheet1!A20,Sheet1!A20:A38,1,FALSE)</f>
        <v>1015 </v>
      </c>
      <c r="B16" s="30" t="str">
        <f>VLOOKUP(Sheet1!A20,Sheet1!A20:C38,3,FALSE)</f>
        <v>P010 </v>
      </c>
      <c r="C16" s="30" t="str">
        <f>VLOOKUP(Sheet1!A20,Sheet1!A20:D38,4,0)</f>
        <v>C001 </v>
      </c>
      <c r="D16" s="63" t="str">
        <f>VLOOKUP(Sheet1!B20,Sheet1!B20:E38,4,0)</f>
        <v>7 </v>
      </c>
      <c r="E16" s="47" t="str">
        <f>VLOOKUP(B16,Sheet2!$A$2:$B$11,2,FALSE)</f>
        <v>Laptop Stand </v>
      </c>
      <c r="F16" s="31" t="str">
        <f>VLOOKUP(B16,Sheet2!$A$2:$C$11,3,FALSE)</f>
        <v>Accessories </v>
      </c>
      <c r="G16" s="31" t="str">
        <f>VLOOKUP(C16,Sheet3!$A$2:$B$7,2,FALSE)</f>
        <v>TechCorp GmbH </v>
      </c>
      <c r="H16" s="29" t="str">
        <f>VLOOKUP(C16,Sheet3!$A$2:$C$7,3,FALSE)</f>
        <v>North </v>
      </c>
      <c r="I16" s="48" t="str">
        <f>VLOOKUP(B16,Sheet2!$A$2:$D$11,4,FALSE)</f>
        <v>75 </v>
      </c>
      <c r="J16" s="79" cm="1">
        <f t="array" ref="J16">_xlfn._xlws.FILTER(Sheet4!D:D,(Sheet4!B:B=B16)*(Sheet4!C:C=C16),0)</f>
        <v>0</v>
      </c>
      <c r="K16" s="62" t="str">
        <f t="shared" si="2"/>
        <v>75 </v>
      </c>
      <c r="L16" s="61">
        <f t="shared" si="1"/>
        <v>525</v>
      </c>
      <c r="M16" s="61">
        <f t="shared" si="0"/>
        <v>525</v>
      </c>
    </row>
    <row r="17" spans="1:13" ht="14.25">
      <c r="A17" s="66" t="str">
        <f>VLOOKUP(Sheet1!A21,Sheet1!A21:A39,1,FALSE)</f>
        <v>1016 </v>
      </c>
      <c r="B17" s="30" t="str">
        <f>VLOOKUP(Sheet1!A21,Sheet1!A21:C39,3,FALSE)</f>
        <v>P006 </v>
      </c>
      <c r="C17" s="30" t="str">
        <f>VLOOKUP(Sheet1!A21,Sheet1!A21:D39,4,0)</f>
        <v>C003 </v>
      </c>
      <c r="D17" s="63" t="str">
        <f>VLOOKUP(Sheet1!B21,Sheet1!B21:E39,4,0)</f>
        <v>9 </v>
      </c>
      <c r="E17" s="47" t="str">
        <f>VLOOKUP(B17,Sheet2!$A$2:$B$11,2,FALSE)</f>
        <v>Webcam HD </v>
      </c>
      <c r="F17" s="31" t="str">
        <f>VLOOKUP(B17,Sheet2!$A$2:$C$11,3,FALSE)</f>
        <v>Electronics </v>
      </c>
      <c r="G17" s="31" t="str">
        <f>VLOOKUP(C17,Sheet3!$A$2:$B$7,2,FALSE)</f>
        <v>Nexus Retail </v>
      </c>
      <c r="H17" s="29" t="str">
        <f>VLOOKUP(C17,Sheet3!$A$2:$C$7,3,FALSE)</f>
        <v>East </v>
      </c>
      <c r="I17" s="48" t="str">
        <f>VLOOKUP(B17,Sheet2!$A$2:$D$11,4,FALSE)</f>
        <v>90 </v>
      </c>
      <c r="J17" s="79" cm="1">
        <f t="array" ref="J17">_xlfn._xlws.FILTER(Sheet4!D:D,(Sheet4!B:B=B17)*(Sheet4!C:C=C17),0)</f>
        <v>0</v>
      </c>
      <c r="K17" s="62" t="str">
        <f t="shared" si="2"/>
        <v>90 </v>
      </c>
      <c r="L17" s="61">
        <f t="shared" si="1"/>
        <v>810</v>
      </c>
      <c r="M17" s="61">
        <f t="shared" si="0"/>
        <v>810</v>
      </c>
    </row>
    <row r="18" spans="1:13" ht="14.25">
      <c r="A18" s="66" t="str">
        <f>VLOOKUP(Sheet1!A22,Sheet1!A22:A40,1,FALSE)</f>
        <v>1017 </v>
      </c>
      <c r="B18" s="30" t="str">
        <f>VLOOKUP(Sheet1!A22,Sheet1!A22:C40,3,FALSE)</f>
        <v>P004 </v>
      </c>
      <c r="C18" s="30" t="str">
        <f>VLOOKUP(Sheet1!A22,Sheet1!A22:D40,4,0)</f>
        <v>C004 </v>
      </c>
      <c r="D18" s="63" t="str">
        <f>VLOOKUP(Sheet1!B22,Sheet1!B22:E40,4,0)</f>
        <v>5 </v>
      </c>
      <c r="E18" s="47" t="str">
        <f>VLOOKUP(B18,Sheet2!$A$2:$B$11,2,FALSE)</f>
        <v>Office Chair </v>
      </c>
      <c r="F18" s="31" t="str">
        <f>VLOOKUP(B18,Sheet2!$A$2:$C$11,3,FALSE)</f>
        <v>Furniture </v>
      </c>
      <c r="G18" s="31" t="str">
        <f>VLOOKUP(C18,Sheet3!$A$2:$B$7,2,FALSE)</f>
        <v>Alpine Supplies </v>
      </c>
      <c r="H18" s="29" t="str">
        <f>VLOOKUP(C18,Sheet3!$A$2:$C$7,3,FALSE)</f>
        <v>West </v>
      </c>
      <c r="I18" s="48" t="str">
        <f>VLOOKUP(B18,Sheet2!$A$2:$D$11,4,FALSE)</f>
        <v>250 </v>
      </c>
      <c r="J18" s="79" cm="1">
        <f t="array" ref="J18">_xlfn._xlws.FILTER(Sheet4!D:D,(Sheet4!B:B=B18)*(Sheet4!C:C=C18),0)</f>
        <v>0</v>
      </c>
      <c r="K18" s="62" t="str">
        <f t="shared" si="2"/>
        <v>250 </v>
      </c>
      <c r="L18" s="61">
        <f t="shared" si="1"/>
        <v>1250</v>
      </c>
      <c r="M18" s="61">
        <f t="shared" si="0"/>
        <v>1250</v>
      </c>
    </row>
    <row r="19" spans="1:13" ht="14.25">
      <c r="A19" s="66" t="str">
        <f>VLOOKUP(Sheet1!A23,Sheet1!A23:A41,1,FALSE)</f>
        <v>1018 </v>
      </c>
      <c r="B19" s="30" t="str">
        <f>VLOOKUP(Sheet1!A23,Sheet1!A23:C41,3,FALSE)</f>
        <v>P002 </v>
      </c>
      <c r="C19" s="30" t="str">
        <f>VLOOKUP(Sheet1!A23,Sheet1!A23:D41,4,0)</f>
        <v>C006 </v>
      </c>
      <c r="D19" s="63" t="str">
        <f>VLOOKUP(Sheet1!B23,Sheet1!B23:E41,4,0)</f>
        <v>25 </v>
      </c>
      <c r="E19" s="47" t="str">
        <f>VLOOKUP(B19,Sheet2!$A$2:$B$11,2,FALSE)</f>
        <v>Wireless Mouse </v>
      </c>
      <c r="F19" s="31" t="str">
        <f>VLOOKUP(B19,Sheet2!$A$2:$C$11,3,FALSE)</f>
        <v>Electronics </v>
      </c>
      <c r="G19" s="31" t="str">
        <f>VLOOKUP(C19,Sheet3!$A$2:$B$7,2,FALSE)</f>
        <v>Delta Systems </v>
      </c>
      <c r="H19" s="29" t="str">
        <f>VLOOKUP(C19,Sheet3!$A$2:$C$7,3,FALSE)</f>
        <v>South </v>
      </c>
      <c r="I19" s="48" t="str">
        <f>VLOOKUP(B19,Sheet2!$A$2:$D$11,4,FALSE)</f>
        <v>45 </v>
      </c>
      <c r="J19" s="79" cm="1">
        <f t="array" ref="J19">_xlfn._xlws.FILTER(Sheet4!D:D,(Sheet4!B:B=B19)*(Sheet4!C:C=C19),0)</f>
        <v>0</v>
      </c>
      <c r="K19" s="62" t="str">
        <f t="shared" si="2"/>
        <v>45 </v>
      </c>
      <c r="L19" s="61">
        <f t="shared" si="1"/>
        <v>1125</v>
      </c>
      <c r="M19" s="61">
        <f t="shared" si="0"/>
        <v>1125</v>
      </c>
    </row>
    <row r="20" spans="1:13" ht="14.25">
      <c r="A20" s="66" t="str">
        <f>VLOOKUP(Sheet1!A24,Sheet1!A24:A42,1,FALSE)</f>
        <v>1019 </v>
      </c>
      <c r="B20" s="30" t="str">
        <f>VLOOKUP(Sheet1!A24,Sheet1!A24:C42,3,FALSE)</f>
        <v>P005 </v>
      </c>
      <c r="C20" s="30" t="str">
        <f>VLOOKUP(Sheet1!A24,Sheet1!A24:D42,4,0)</f>
        <v>C002 </v>
      </c>
      <c r="D20" s="63" t="str">
        <f>VLOOKUP(Sheet1!B24,Sheet1!B24:E42,4,0)</f>
        <v>6 </v>
      </c>
      <c r="E20" s="47" t="str">
        <f>VLOOKUP(B20,Sheet2!$A$2:$B$11,2,FALSE)</f>
        <v>Headphones </v>
      </c>
      <c r="F20" s="31" t="str">
        <f>VLOOKUP(B20,Sheet2!$A$2:$C$11,3,FALSE)</f>
        <v>Electronics </v>
      </c>
      <c r="G20" s="31" t="str">
        <f>VLOOKUP(C20,Sheet3!$A$2:$B$7,2,FALSE)</f>
        <v>BrightSales Ltd </v>
      </c>
      <c r="H20" s="29" t="str">
        <f>VLOOKUP(C20,Sheet3!$A$2:$C$7,3,FALSE)</f>
        <v>South </v>
      </c>
      <c r="I20" s="48" t="str">
        <f>VLOOKUP(B20,Sheet2!$A$2:$D$11,4,FALSE)</f>
        <v>120 </v>
      </c>
      <c r="J20" s="79" cm="1">
        <f t="array" ref="J20">_xlfn._xlws.FILTER(Sheet4!D:D,(Sheet4!B:B=B20)*(Sheet4!C:C=C20),0)</f>
        <v>0</v>
      </c>
      <c r="K20" s="62" t="str">
        <f t="shared" si="2"/>
        <v>120 </v>
      </c>
      <c r="L20" s="61">
        <f t="shared" si="1"/>
        <v>720</v>
      </c>
      <c r="M20" s="61">
        <f t="shared" si="0"/>
        <v>720</v>
      </c>
    </row>
    <row r="21" spans="1:13" ht="14.25">
      <c r="A21" s="66" t="str">
        <f>VLOOKUP(Sheet1!A25,Sheet1!A25:A43,1,FALSE)</f>
        <v>1020 </v>
      </c>
      <c r="B21" s="30" t="str">
        <f>VLOOKUP(Sheet1!A25,Sheet1!A25:C43,3,FALSE)</f>
        <v>P001 </v>
      </c>
      <c r="C21" s="30" t="str">
        <f>VLOOKUP(Sheet1!A25,Sheet1!A25:D43,4,0)</f>
        <v>C005 </v>
      </c>
      <c r="D21" s="63" t="str">
        <f>VLOOKUP(Sheet1!B25,Sheet1!B25:E43,4,0)</f>
        <v>4 </v>
      </c>
      <c r="E21" s="47" t="str">
        <f>VLOOKUP(B21,Sheet2!$A$2:$B$11,2,FALSE)</f>
        <v>Laptop Pro X </v>
      </c>
      <c r="F21" s="31" t="str">
        <f>VLOOKUP(B21,Sheet2!$A$2:$C$11,3,FALSE)</f>
        <v>Electronics </v>
      </c>
      <c r="G21" s="31" t="str">
        <f>VLOOKUP(C21,Sheet3!$A$2:$B$7,2,FALSE)</f>
        <v>Metro Office </v>
      </c>
      <c r="H21" s="29" t="str">
        <f>VLOOKUP(C21,Sheet3!$A$2:$C$7,3,FALSE)</f>
        <v>North </v>
      </c>
      <c r="I21" s="48" t="str">
        <f>VLOOKUP(B21,Sheet2!$A$2:$D$11,4,FALSE)</f>
        <v>1,200 </v>
      </c>
      <c r="J21" s="79" cm="1">
        <f t="array" ref="J21">_xlfn._xlws.FILTER(Sheet4!D:D,(Sheet4!B:B=B21)*(Sheet4!C:C=C21),0)</f>
        <v>0</v>
      </c>
      <c r="K21" s="62" t="str">
        <f t="shared" si="2"/>
        <v>1,200 </v>
      </c>
      <c r="L21" s="61">
        <f t="shared" si="1"/>
        <v>4800</v>
      </c>
      <c r="M21" s="61">
        <f t="shared" si="0"/>
        <v>4800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CAC5-6027-41D7-9FB5-100423890062}">
  <dimension ref="A3:F9"/>
  <sheetViews>
    <sheetView workbookViewId="0">
      <selection activeCell="N18" sqref="N18"/>
    </sheetView>
  </sheetViews>
  <sheetFormatPr defaultRowHeight="15"/>
  <cols>
    <col min="1" max="1" width="17.7109375" bestFit="1" customWidth="1"/>
    <col min="2" max="2" width="12.28515625" bestFit="1" customWidth="1"/>
    <col min="3" max="3" width="11.28515625" bestFit="1" customWidth="1"/>
    <col min="4" max="4" width="9.42578125" bestFit="1" customWidth="1"/>
    <col min="5" max="5" width="14.7109375" bestFit="1" customWidth="1"/>
    <col min="6" max="6" width="11.140625" bestFit="1" customWidth="1"/>
    <col min="7" max="9" width="4.5703125" bestFit="1" customWidth="1"/>
    <col min="10" max="21" width="5.5703125" bestFit="1" customWidth="1"/>
    <col min="22" max="22" width="11.140625" bestFit="1" customWidth="1"/>
  </cols>
  <sheetData>
    <row r="3" spans="1:6">
      <c r="A3" s="42" t="s">
        <v>148</v>
      </c>
      <c r="B3" s="42" t="s">
        <v>149</v>
      </c>
    </row>
    <row r="4" spans="1:6">
      <c r="A4" s="42" t="s">
        <v>150</v>
      </c>
      <c r="B4" t="s">
        <v>100</v>
      </c>
      <c r="C4" t="s">
        <v>80</v>
      </c>
      <c r="D4" t="s">
        <v>85</v>
      </c>
      <c r="E4" t="s">
        <v>96</v>
      </c>
      <c r="F4" t="s">
        <v>151</v>
      </c>
    </row>
    <row r="5" spans="1:6">
      <c r="A5" t="s">
        <v>112</v>
      </c>
      <c r="B5" s="61"/>
      <c r="C5" s="61">
        <v>3010</v>
      </c>
      <c r="D5" s="61">
        <v>1500</v>
      </c>
      <c r="E5" s="61"/>
      <c r="F5" s="61">
        <v>4510</v>
      </c>
    </row>
    <row r="6" spans="1:6">
      <c r="A6" t="s">
        <v>106</v>
      </c>
      <c r="B6" s="61">
        <v>525</v>
      </c>
      <c r="C6" s="61">
        <v>10870</v>
      </c>
      <c r="D6" s="61"/>
      <c r="E6" s="61">
        <v>800</v>
      </c>
      <c r="F6" s="61">
        <v>12195</v>
      </c>
    </row>
    <row r="7" spans="1:6">
      <c r="A7" t="s">
        <v>109</v>
      </c>
      <c r="B7" s="61"/>
      <c r="C7" s="61">
        <v>5520</v>
      </c>
      <c r="D7" s="61">
        <v>1100</v>
      </c>
      <c r="E7" s="61">
        <v>1000</v>
      </c>
      <c r="F7" s="61">
        <v>7620</v>
      </c>
    </row>
    <row r="8" spans="1:6">
      <c r="A8" t="s">
        <v>115</v>
      </c>
      <c r="B8" s="61"/>
      <c r="C8" s="61">
        <v>1260</v>
      </c>
      <c r="D8" s="61">
        <v>3650</v>
      </c>
      <c r="E8" s="61"/>
      <c r="F8" s="61">
        <v>4910</v>
      </c>
    </row>
    <row r="9" spans="1:6">
      <c r="A9" t="s">
        <v>151</v>
      </c>
      <c r="B9" s="61">
        <v>525</v>
      </c>
      <c r="C9" s="61">
        <v>20660</v>
      </c>
      <c r="D9" s="61">
        <v>6250</v>
      </c>
      <c r="E9" s="61">
        <v>1800</v>
      </c>
      <c r="F9" s="61">
        <v>29235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0307F-184A-4FFF-96C5-9532DA546B95}">
  <dimension ref="A1:K14"/>
  <sheetViews>
    <sheetView workbookViewId="0">
      <selection activeCell="A3" sqref="A3:C14"/>
    </sheetView>
  </sheetViews>
  <sheetFormatPr defaultRowHeight="15"/>
  <cols>
    <col min="1" max="1" width="17" bestFit="1" customWidth="1"/>
    <col min="2" max="2" width="17.7109375" bestFit="1" customWidth="1"/>
    <col min="3" max="3" width="13.85546875" bestFit="1" customWidth="1"/>
  </cols>
  <sheetData>
    <row r="1" spans="1:11">
      <c r="G1" s="76"/>
      <c r="H1" s="76"/>
      <c r="I1" s="76"/>
      <c r="J1" s="76"/>
      <c r="K1" s="76"/>
    </row>
    <row r="2" spans="1:11">
      <c r="G2" s="76"/>
    </row>
    <row r="3" spans="1:11">
      <c r="A3" s="42" t="s">
        <v>152</v>
      </c>
      <c r="B3" t="s">
        <v>148</v>
      </c>
      <c r="C3" t="s">
        <v>153</v>
      </c>
      <c r="G3" s="76"/>
    </row>
    <row r="4" spans="1:11">
      <c r="A4" t="s">
        <v>79</v>
      </c>
      <c r="B4" s="61">
        <v>11350</v>
      </c>
      <c r="C4" s="43">
        <v>4</v>
      </c>
      <c r="D4" s="1"/>
      <c r="G4" s="76"/>
    </row>
    <row r="5" spans="1:11">
      <c r="A5" t="s">
        <v>84</v>
      </c>
      <c r="B5" s="61">
        <v>3500</v>
      </c>
      <c r="C5" s="43">
        <v>2</v>
      </c>
      <c r="G5" s="76"/>
    </row>
    <row r="6" spans="1:11">
      <c r="A6" t="s">
        <v>93</v>
      </c>
      <c r="B6" s="61">
        <v>3000</v>
      </c>
      <c r="C6" s="43">
        <v>2</v>
      </c>
      <c r="G6" s="76"/>
    </row>
    <row r="7" spans="1:11">
      <c r="A7" t="s">
        <v>89</v>
      </c>
      <c r="B7" s="61">
        <v>2940</v>
      </c>
      <c r="C7" s="43">
        <v>3</v>
      </c>
    </row>
    <row r="8" spans="1:11">
      <c r="A8" t="s">
        <v>87</v>
      </c>
      <c r="B8" s="61">
        <v>2750</v>
      </c>
      <c r="C8" s="43">
        <v>2</v>
      </c>
    </row>
    <row r="9" spans="1:11">
      <c r="A9" t="s">
        <v>82</v>
      </c>
      <c r="B9" s="61">
        <v>2560</v>
      </c>
      <c r="C9" s="43">
        <v>3</v>
      </c>
    </row>
    <row r="10" spans="1:11">
      <c r="A10" t="s">
        <v>98</v>
      </c>
      <c r="B10" s="61">
        <v>1000</v>
      </c>
      <c r="C10" s="43">
        <v>1</v>
      </c>
    </row>
    <row r="11" spans="1:11">
      <c r="A11" t="s">
        <v>91</v>
      </c>
      <c r="B11" s="61">
        <v>810</v>
      </c>
      <c r="C11" s="43">
        <v>1</v>
      </c>
    </row>
    <row r="12" spans="1:11">
      <c r="A12" t="s">
        <v>95</v>
      </c>
      <c r="B12" s="61">
        <v>800</v>
      </c>
      <c r="C12" s="43">
        <v>1</v>
      </c>
    </row>
    <row r="13" spans="1:11">
      <c r="A13" t="s">
        <v>99</v>
      </c>
      <c r="B13" s="61">
        <v>525</v>
      </c>
      <c r="C13" s="43">
        <v>1</v>
      </c>
    </row>
    <row r="14" spans="1:11">
      <c r="A14" t="s">
        <v>151</v>
      </c>
      <c r="B14" s="61">
        <v>29235</v>
      </c>
      <c r="C14" s="43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7A6AD-0022-4494-B827-43EF7EC038F1}">
  <dimension ref="A3:C13"/>
  <sheetViews>
    <sheetView workbookViewId="0">
      <selection activeCell="S2" sqref="S2"/>
    </sheetView>
  </sheetViews>
  <sheetFormatPr defaultRowHeight="15"/>
  <cols>
    <col min="1" max="1" width="17" bestFit="1" customWidth="1"/>
    <col min="2" max="2" width="14.28515625" bestFit="1" customWidth="1"/>
    <col min="3" max="4" width="15" bestFit="1" customWidth="1"/>
  </cols>
  <sheetData>
    <row r="3" spans="1:3">
      <c r="A3" s="42" t="s">
        <v>152</v>
      </c>
      <c r="B3" s="42" t="s">
        <v>154</v>
      </c>
      <c r="C3" t="s">
        <v>155</v>
      </c>
    </row>
    <row r="4" spans="1:3">
      <c r="A4" t="s">
        <v>89</v>
      </c>
      <c r="B4" t="s">
        <v>90</v>
      </c>
      <c r="C4" s="80">
        <v>0.10056439199589533</v>
      </c>
    </row>
    <row r="5" spans="1:3">
      <c r="A5" t="s">
        <v>79</v>
      </c>
      <c r="B5" t="s">
        <v>81</v>
      </c>
      <c r="C5" s="80">
        <v>0.38823328202497009</v>
      </c>
    </row>
    <row r="6" spans="1:3">
      <c r="A6" t="s">
        <v>99</v>
      </c>
      <c r="B6" t="s">
        <v>101</v>
      </c>
      <c r="C6" s="80">
        <v>1.7957927142124165E-2</v>
      </c>
    </row>
    <row r="7" spans="1:3">
      <c r="A7" t="s">
        <v>93</v>
      </c>
      <c r="B7" t="s">
        <v>94</v>
      </c>
      <c r="C7" s="80">
        <v>0.10261672652642381</v>
      </c>
    </row>
    <row r="8" spans="1:3">
      <c r="A8" t="s">
        <v>87</v>
      </c>
      <c r="B8" t="s">
        <v>88</v>
      </c>
      <c r="C8" s="80">
        <v>9.4065332649221817E-2</v>
      </c>
    </row>
    <row r="9" spans="1:3">
      <c r="A9" t="s">
        <v>98</v>
      </c>
      <c r="B9" t="s">
        <v>71</v>
      </c>
      <c r="C9" s="80">
        <v>3.4205575508807935E-2</v>
      </c>
    </row>
    <row r="10" spans="1:3">
      <c r="A10" t="s">
        <v>84</v>
      </c>
      <c r="B10" t="s">
        <v>86</v>
      </c>
      <c r="C10" s="80">
        <v>0.11971951428082778</v>
      </c>
    </row>
    <row r="11" spans="1:3">
      <c r="A11" t="s">
        <v>91</v>
      </c>
      <c r="B11" t="s">
        <v>92</v>
      </c>
      <c r="C11" s="80">
        <v>2.7706516162134428E-2</v>
      </c>
    </row>
    <row r="12" spans="1:3">
      <c r="A12" t="s">
        <v>95</v>
      </c>
      <c r="B12" t="s">
        <v>97</v>
      </c>
      <c r="C12" s="80">
        <v>2.7364460407046348E-2</v>
      </c>
    </row>
    <row r="13" spans="1:3">
      <c r="A13" t="s">
        <v>82</v>
      </c>
      <c r="B13" t="s">
        <v>83</v>
      </c>
      <c r="C13" s="80">
        <v>8.756627330254832E-2</v>
      </c>
    </row>
  </sheetData>
  <conditionalFormatting sqref="A3:C1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{7A3F84FF-F306-400D-A6B6-9F038D5EB6D3}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3F84FF-F306-400D-A6B6-9F038D5EB6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A3:C13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0723-D95E-4A3E-8E9D-E09AA0E53544}">
  <dimension ref="A3:B14"/>
  <sheetViews>
    <sheetView tabSelected="1" workbookViewId="0">
      <selection activeCell="A3" sqref="A3"/>
    </sheetView>
  </sheetViews>
  <sheetFormatPr defaultRowHeight="15"/>
  <cols>
    <col min="1" max="1" width="17" bestFit="1" customWidth="1"/>
    <col min="2" max="2" width="15" bestFit="1" customWidth="1"/>
    <col min="3" max="3" width="17.7109375" bestFit="1" customWidth="1"/>
  </cols>
  <sheetData>
    <row r="3" spans="1:2">
      <c r="A3" s="42" t="s">
        <v>152</v>
      </c>
      <c r="B3" t="s">
        <v>155</v>
      </c>
    </row>
    <row r="4" spans="1:2">
      <c r="A4" t="s">
        <v>89</v>
      </c>
      <c r="B4" s="61">
        <v>2940</v>
      </c>
    </row>
    <row r="5" spans="1:2">
      <c r="A5" t="s">
        <v>79</v>
      </c>
      <c r="B5" s="61">
        <v>11350</v>
      </c>
    </row>
    <row r="6" spans="1:2">
      <c r="A6" t="s">
        <v>99</v>
      </c>
      <c r="B6" s="61">
        <v>525</v>
      </c>
    </row>
    <row r="7" spans="1:2">
      <c r="A7" t="s">
        <v>93</v>
      </c>
      <c r="B7" s="61">
        <v>3000</v>
      </c>
    </row>
    <row r="8" spans="1:2">
      <c r="A8" t="s">
        <v>87</v>
      </c>
      <c r="B8" s="61">
        <v>2750</v>
      </c>
    </row>
    <row r="9" spans="1:2">
      <c r="A9" t="s">
        <v>98</v>
      </c>
      <c r="B9" s="61">
        <v>1000</v>
      </c>
    </row>
    <row r="10" spans="1:2">
      <c r="A10" t="s">
        <v>84</v>
      </c>
      <c r="B10" s="61">
        <v>3500</v>
      </c>
    </row>
    <row r="11" spans="1:2">
      <c r="A11" t="s">
        <v>91</v>
      </c>
      <c r="B11" s="61">
        <v>810</v>
      </c>
    </row>
    <row r="12" spans="1:2">
      <c r="A12" t="s">
        <v>95</v>
      </c>
      <c r="B12" s="61">
        <v>800</v>
      </c>
    </row>
    <row r="13" spans="1:2">
      <c r="A13" t="s">
        <v>82</v>
      </c>
      <c r="B13" s="61">
        <v>2560</v>
      </c>
    </row>
    <row r="14" spans="1:2">
      <c r="A14" t="s">
        <v>151</v>
      </c>
      <c r="B14" s="61">
        <v>29235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2026-04-29T11:30:25Z</dcterms:created>
  <dcterms:modified xsi:type="dcterms:W3CDTF">2026-05-02T16:17:41Z</dcterms:modified>
  <cp:category/>
  <cp:contentStatus/>
</cp:coreProperties>
</file>